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AUXILIAR" sheetId="2" r:id="rId2"/>
    <sheet name="SIMULADOR-IMPOSTO" sheetId="3" r:id="rId3"/>
    <sheet name="relação-de-peças-1-Teste090" sheetId="4" r:id="rId4"/>
  </sheets>
  <definedNames>
    <definedName name="_xlnm._FilterDatabase" localSheetId="0" hidden="1">PEÇAS!$A$13:$BE$13</definedName>
    <definedName name="_xlnm.Print_Area" localSheetId="3">'relação-de-peças-1-Teste090'!$A$1:$R$21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1" l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G9" i="2"/>
  <c r="G10" i="2"/>
  <c r="G8" i="2"/>
  <c r="AR14" i="1"/>
  <c r="G6" i="2"/>
  <c r="G5" i="2"/>
  <c r="BF14" i="1" l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2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BE25" i="1" s="1"/>
  <c r="AX30" i="1"/>
  <c r="AX31" i="1"/>
  <c r="BE31" i="1" s="1"/>
  <c r="AX32" i="1"/>
  <c r="BE32" i="1" s="1"/>
  <c r="AX40" i="1"/>
  <c r="AX26" i="1"/>
  <c r="BE26" i="1" s="1"/>
  <c r="AX27" i="1"/>
  <c r="BE27" i="1" s="1"/>
  <c r="AX41" i="1"/>
  <c r="AX42" i="1"/>
  <c r="BE42" i="1" s="1"/>
  <c r="AX33" i="1"/>
  <c r="BE33" i="1" s="1"/>
  <c r="AX34" i="1"/>
  <c r="BE34" i="1" s="1"/>
  <c r="AX35" i="1"/>
  <c r="BE35" i="1" s="1"/>
  <c r="AX28" i="1"/>
  <c r="BE28" i="1" s="1"/>
  <c r="AX54" i="1"/>
  <c r="AX55" i="1"/>
  <c r="AX29" i="1"/>
  <c r="AX43" i="1"/>
  <c r="BE43" i="1" s="1"/>
  <c r="AX36" i="1"/>
  <c r="BE36" i="1" s="1"/>
  <c r="AX44" i="1"/>
  <c r="BE44" i="1" s="1"/>
  <c r="AX37" i="1"/>
  <c r="BE37" i="1" s="1"/>
  <c r="AX56" i="1"/>
  <c r="BE56" i="1" s="1"/>
  <c r="AX51" i="1"/>
  <c r="BE51" i="1" s="1"/>
  <c r="AX45" i="1"/>
  <c r="BE45" i="1" s="1"/>
  <c r="AX46" i="1"/>
  <c r="AX47" i="1"/>
  <c r="AX48" i="1"/>
  <c r="BE48" i="1" s="1"/>
  <c r="AX57" i="1"/>
  <c r="BE57" i="1" s="1"/>
  <c r="AX38" i="1"/>
  <c r="BE38" i="1" s="1"/>
  <c r="AX49" i="1"/>
  <c r="BE49" i="1" s="1"/>
  <c r="AX50" i="1"/>
  <c r="AX52" i="1"/>
  <c r="BE52" i="1" s="1"/>
  <c r="AX39" i="1"/>
  <c r="BE39" i="1" s="1"/>
  <c r="AX22" i="1"/>
  <c r="BE22" i="1" s="1"/>
  <c r="AX23" i="1"/>
  <c r="BE23" i="1" s="1"/>
  <c r="AX24" i="1"/>
  <c r="BE24" i="1" s="1"/>
  <c r="AX58" i="1"/>
  <c r="BE58" i="1" s="1"/>
  <c r="AX59" i="1"/>
  <c r="BE59" i="1" s="1"/>
  <c r="AX60" i="1"/>
  <c r="BE60" i="1" s="1"/>
  <c r="AX61" i="1"/>
  <c r="BE61" i="1" s="1"/>
  <c r="AX62" i="1"/>
  <c r="BE62" i="1" s="1"/>
  <c r="AX63" i="1"/>
  <c r="BE63" i="1" s="1"/>
  <c r="AX64" i="1"/>
  <c r="BE64" i="1" s="1"/>
  <c r="AX65" i="1"/>
  <c r="BE65" i="1" s="1"/>
  <c r="AX66" i="1"/>
  <c r="BE66" i="1" s="1"/>
  <c r="AX67" i="1"/>
  <c r="BE67" i="1" s="1"/>
  <c r="AX68" i="1"/>
  <c r="BE68" i="1" s="1"/>
  <c r="AX69" i="1"/>
  <c r="BE69" i="1" s="1"/>
  <c r="AX70" i="1"/>
  <c r="BE70" i="1" s="1"/>
  <c r="AX71" i="1"/>
  <c r="BE71" i="1" s="1"/>
  <c r="AX72" i="1"/>
  <c r="BE72" i="1" s="1"/>
  <c r="AX73" i="1"/>
  <c r="BE73" i="1" s="1"/>
  <c r="AX74" i="1"/>
  <c r="BE74" i="1" s="1"/>
  <c r="AX75" i="1"/>
  <c r="BE75" i="1" s="1"/>
  <c r="AX76" i="1"/>
  <c r="BE76" i="1" s="1"/>
  <c r="AX77" i="1"/>
  <c r="BE77" i="1" s="1"/>
  <c r="AX78" i="1"/>
  <c r="BE78" i="1" s="1"/>
  <c r="AX79" i="1"/>
  <c r="BE79" i="1" s="1"/>
  <c r="AX80" i="1"/>
  <c r="BE80" i="1" s="1"/>
  <c r="AX81" i="1"/>
  <c r="BE81" i="1" s="1"/>
  <c r="AX82" i="1"/>
  <c r="BE82" i="1" s="1"/>
  <c r="AX83" i="1"/>
  <c r="BE83" i="1" s="1"/>
  <c r="AX84" i="1"/>
  <c r="BE84" i="1" s="1"/>
  <c r="AX85" i="1"/>
  <c r="BE85" i="1" s="1"/>
  <c r="AX86" i="1"/>
  <c r="BE86" i="1" s="1"/>
  <c r="AX87" i="1"/>
  <c r="BE87" i="1" s="1"/>
  <c r="AX88" i="1"/>
  <c r="BE88" i="1" s="1"/>
  <c r="AX89" i="1"/>
  <c r="BE89" i="1" s="1"/>
  <c r="AX90" i="1"/>
  <c r="BE90" i="1" s="1"/>
  <c r="AX91" i="1"/>
  <c r="BE91" i="1" s="1"/>
  <c r="AX92" i="1"/>
  <c r="BE92" i="1" s="1"/>
  <c r="AX93" i="1"/>
  <c r="BE93" i="1" s="1"/>
  <c r="AX94" i="1"/>
  <c r="BE94" i="1" s="1"/>
  <c r="AX95" i="1"/>
  <c r="BE95" i="1" s="1"/>
  <c r="AX96" i="1"/>
  <c r="BE96" i="1" s="1"/>
  <c r="AX97" i="1"/>
  <c r="BE97" i="1" s="1"/>
  <c r="AX98" i="1"/>
  <c r="BE98" i="1" s="1"/>
  <c r="AX99" i="1"/>
  <c r="BE99" i="1" s="1"/>
  <c r="AX100" i="1"/>
  <c r="BE100" i="1" s="1"/>
  <c r="AX101" i="1"/>
  <c r="BE101" i="1" s="1"/>
  <c r="AX102" i="1"/>
  <c r="BE102" i="1" s="1"/>
  <c r="AX103" i="1"/>
  <c r="BE103" i="1" s="1"/>
  <c r="AX104" i="1"/>
  <c r="BE104" i="1" s="1"/>
  <c r="AX105" i="1"/>
  <c r="BE105" i="1" s="1"/>
  <c r="AX106" i="1"/>
  <c r="BE106" i="1" s="1"/>
  <c r="AX107" i="1"/>
  <c r="BE107" i="1" s="1"/>
  <c r="AX108" i="1"/>
  <c r="BE108" i="1" s="1"/>
  <c r="AX109" i="1"/>
  <c r="BE109" i="1" s="1"/>
  <c r="AX110" i="1"/>
  <c r="BE110" i="1" s="1"/>
  <c r="AX111" i="1"/>
  <c r="BE111" i="1" s="1"/>
  <c r="AX112" i="1"/>
  <c r="BE112" i="1" s="1"/>
  <c r="AX113" i="1"/>
  <c r="BE113" i="1" s="1"/>
  <c r="AX114" i="1"/>
  <c r="BE114" i="1" s="1"/>
  <c r="AX115" i="1"/>
  <c r="BE115" i="1" s="1"/>
  <c r="AX116" i="1"/>
  <c r="BE116" i="1" s="1"/>
  <c r="AX117" i="1"/>
  <c r="BE117" i="1" s="1"/>
  <c r="AX118" i="1"/>
  <c r="BE118" i="1" s="1"/>
  <c r="AX119" i="1"/>
  <c r="BE119" i="1" s="1"/>
  <c r="AX120" i="1"/>
  <c r="BE120" i="1" s="1"/>
  <c r="AX121" i="1"/>
  <c r="BE121" i="1" s="1"/>
  <c r="AX122" i="1"/>
  <c r="BE122" i="1" s="1"/>
  <c r="AX123" i="1"/>
  <c r="BE123" i="1" s="1"/>
  <c r="AX124" i="1"/>
  <c r="BE124" i="1" s="1"/>
  <c r="AX125" i="1"/>
  <c r="BE125" i="1" s="1"/>
  <c r="AX126" i="1"/>
  <c r="BE126" i="1" s="1"/>
  <c r="AX127" i="1"/>
  <c r="BE127" i="1" s="1"/>
  <c r="AX128" i="1"/>
  <c r="BE128" i="1" s="1"/>
  <c r="AX129" i="1"/>
  <c r="BE129" i="1" s="1"/>
  <c r="AX130" i="1"/>
  <c r="BE130" i="1" s="1"/>
  <c r="AX131" i="1"/>
  <c r="BE131" i="1" s="1"/>
  <c r="AX132" i="1"/>
  <c r="BE132" i="1" s="1"/>
  <c r="AX133" i="1"/>
  <c r="BE133" i="1" s="1"/>
  <c r="AX134" i="1"/>
  <c r="BE134" i="1" s="1"/>
  <c r="AX135" i="1"/>
  <c r="BE135" i="1" s="1"/>
  <c r="AX136" i="1"/>
  <c r="BE136" i="1" s="1"/>
  <c r="AX137" i="1"/>
  <c r="BE137" i="1" s="1"/>
  <c r="AX138" i="1"/>
  <c r="BE138" i="1" s="1"/>
  <c r="AX139" i="1"/>
  <c r="BE139" i="1" s="1"/>
  <c r="AX140" i="1"/>
  <c r="BE140" i="1" s="1"/>
  <c r="AX141" i="1"/>
  <c r="BE141" i="1" s="1"/>
  <c r="AX142" i="1"/>
  <c r="BE142" i="1" s="1"/>
  <c r="AX143" i="1"/>
  <c r="BE143" i="1" s="1"/>
  <c r="AX144" i="1"/>
  <c r="BE144" i="1" s="1"/>
  <c r="AX145" i="1"/>
  <c r="BE145" i="1" s="1"/>
  <c r="AX146" i="1"/>
  <c r="BE146" i="1" s="1"/>
  <c r="AX147" i="1"/>
  <c r="BE147" i="1" s="1"/>
  <c r="AX148" i="1"/>
  <c r="BE148" i="1" s="1"/>
  <c r="AX149" i="1"/>
  <c r="BE149" i="1" s="1"/>
  <c r="AX150" i="1"/>
  <c r="BE150" i="1" s="1"/>
  <c r="AX151" i="1"/>
  <c r="BE151" i="1" s="1"/>
  <c r="AX152" i="1"/>
  <c r="BE152" i="1" s="1"/>
  <c r="AX153" i="1"/>
  <c r="BE153" i="1" s="1"/>
  <c r="AX154" i="1"/>
  <c r="BE154" i="1" s="1"/>
  <c r="AX155" i="1"/>
  <c r="BE155" i="1" s="1"/>
  <c r="AX156" i="1"/>
  <c r="BE156" i="1" s="1"/>
  <c r="AX157" i="1"/>
  <c r="BE157" i="1" s="1"/>
  <c r="AX158" i="1"/>
  <c r="BE158" i="1" s="1"/>
  <c r="AX159" i="1"/>
  <c r="BE159" i="1" s="1"/>
  <c r="AX160" i="1"/>
  <c r="BE160" i="1" s="1"/>
  <c r="AX161" i="1"/>
  <c r="BE161" i="1" s="1"/>
  <c r="AX162" i="1"/>
  <c r="BE162" i="1" s="1"/>
  <c r="AX163" i="1"/>
  <c r="BE163" i="1" s="1"/>
  <c r="AX164" i="1"/>
  <c r="BE164" i="1" s="1"/>
  <c r="AX165" i="1"/>
  <c r="BE165" i="1" s="1"/>
  <c r="AX166" i="1"/>
  <c r="BE166" i="1" s="1"/>
  <c r="AX167" i="1"/>
  <c r="BE167" i="1" s="1"/>
  <c r="AX168" i="1"/>
  <c r="BE168" i="1" s="1"/>
  <c r="AX169" i="1"/>
  <c r="BE169" i="1" s="1"/>
  <c r="AX170" i="1"/>
  <c r="BE170" i="1" s="1"/>
  <c r="AX171" i="1"/>
  <c r="BE171" i="1" s="1"/>
  <c r="AX172" i="1"/>
  <c r="BE172" i="1" s="1"/>
  <c r="AX173" i="1"/>
  <c r="BE173" i="1" s="1"/>
  <c r="AX174" i="1"/>
  <c r="BE174" i="1" s="1"/>
  <c r="AX175" i="1"/>
  <c r="BE175" i="1" s="1"/>
  <c r="AX176" i="1"/>
  <c r="BE176" i="1" s="1"/>
  <c r="AX177" i="1"/>
  <c r="BE177" i="1" s="1"/>
  <c r="AX178" i="1"/>
  <c r="BE178" i="1" s="1"/>
  <c r="AX179" i="1"/>
  <c r="BE179" i="1" s="1"/>
  <c r="AX180" i="1"/>
  <c r="BE180" i="1" s="1"/>
  <c r="AX181" i="1"/>
  <c r="BE181" i="1" s="1"/>
  <c r="AX182" i="1"/>
  <c r="BE182" i="1" s="1"/>
  <c r="AX183" i="1"/>
  <c r="BE183" i="1" s="1"/>
  <c r="AX184" i="1"/>
  <c r="BE184" i="1" s="1"/>
  <c r="AX185" i="1"/>
  <c r="BE185" i="1" s="1"/>
  <c r="AX186" i="1"/>
  <c r="BE186" i="1" s="1"/>
  <c r="AX187" i="1"/>
  <c r="BE187" i="1" s="1"/>
  <c r="AX188" i="1"/>
  <c r="BE188" i="1" s="1"/>
  <c r="AX189" i="1"/>
  <c r="BE189" i="1" s="1"/>
  <c r="AX190" i="1"/>
  <c r="BE190" i="1" s="1"/>
  <c r="AX191" i="1"/>
  <c r="BE191" i="1" s="1"/>
  <c r="AX192" i="1"/>
  <c r="BE192" i="1" s="1"/>
  <c r="AX193" i="1"/>
  <c r="BE193" i="1" s="1"/>
  <c r="AX194" i="1"/>
  <c r="BE194" i="1" s="1"/>
  <c r="AX195" i="1"/>
  <c r="BE195" i="1" s="1"/>
  <c r="AX196" i="1"/>
  <c r="BE196" i="1" s="1"/>
  <c r="AX197" i="1"/>
  <c r="BE197" i="1" s="1"/>
  <c r="AX198" i="1"/>
  <c r="BE198" i="1" s="1"/>
  <c r="AX199" i="1"/>
  <c r="BE199" i="1" s="1"/>
  <c r="AX200" i="1"/>
  <c r="BE200" i="1" s="1"/>
  <c r="AX53" i="1"/>
  <c r="BE53" i="1" s="1"/>
  <c r="S25" i="1"/>
  <c r="U25" i="1" s="1"/>
  <c r="AL25" i="1"/>
  <c r="AP25" i="1"/>
  <c r="AR25" i="1"/>
  <c r="AS25" i="1"/>
  <c r="L25" i="1" s="1"/>
  <c r="AV25" i="1"/>
  <c r="AW25" i="1" s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U30" i="1" s="1"/>
  <c r="AY30" i="1"/>
  <c r="BB30" i="1"/>
  <c r="S31" i="1"/>
  <c r="U31" i="1" s="1"/>
  <c r="AL31" i="1"/>
  <c r="AP31" i="1"/>
  <c r="AR31" i="1"/>
  <c r="AS31" i="1"/>
  <c r="AV31" i="1"/>
  <c r="AU31" i="1" s="1"/>
  <c r="AY31" i="1"/>
  <c r="BA31" i="1" s="1"/>
  <c r="AZ31" i="1"/>
  <c r="BB31" i="1"/>
  <c r="BC31" i="1"/>
  <c r="S32" i="1"/>
  <c r="AO32" i="1" s="1"/>
  <c r="AL32" i="1"/>
  <c r="AP32" i="1"/>
  <c r="AR32" i="1"/>
  <c r="AS32" i="1"/>
  <c r="L32" i="1" s="1"/>
  <c r="AV32" i="1"/>
  <c r="AW32" i="1" s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U40" i="1" s="1"/>
  <c r="AY40" i="1"/>
  <c r="BB40" i="1"/>
  <c r="S26" i="1"/>
  <c r="U26" i="1" s="1"/>
  <c r="AL26" i="1"/>
  <c r="AP26" i="1"/>
  <c r="AR26" i="1"/>
  <c r="AS26" i="1"/>
  <c r="AT26" i="1" s="1"/>
  <c r="AV26" i="1"/>
  <c r="AU26" i="1" s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U27" i="1" s="1"/>
  <c r="AY27" i="1"/>
  <c r="BA27" i="1" s="1"/>
  <c r="AZ27" i="1"/>
  <c r="BB27" i="1"/>
  <c r="BC27" i="1"/>
  <c r="S15" i="1"/>
  <c r="U15" i="1" s="1"/>
  <c r="AL15" i="1"/>
  <c r="AP15" i="1"/>
  <c r="AS15" i="1"/>
  <c r="L15" i="1" s="1"/>
  <c r="O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A16" i="1" s="1"/>
  <c r="AZ16" i="1"/>
  <c r="BB16" i="1"/>
  <c r="BC16" i="1"/>
  <c r="S17" i="1"/>
  <c r="U17" i="1" s="1"/>
  <c r="AL17" i="1"/>
  <c r="AP17" i="1"/>
  <c r="AS17" i="1"/>
  <c r="AV17" i="1"/>
  <c r="AY17" i="1"/>
  <c r="BA17" i="1" s="1"/>
  <c r="AZ17" i="1"/>
  <c r="BB17" i="1"/>
  <c r="BC17" i="1"/>
  <c r="S18" i="1"/>
  <c r="AO18" i="1" s="1"/>
  <c r="AL18" i="1"/>
  <c r="AP18" i="1"/>
  <c r="AS18" i="1"/>
  <c r="L18" i="1" s="1"/>
  <c r="O18" i="1" s="1"/>
  <c r="AV18" i="1"/>
  <c r="AY18" i="1"/>
  <c r="BA18" i="1" s="1"/>
  <c r="AZ18" i="1"/>
  <c r="BB18" i="1"/>
  <c r="BC18" i="1"/>
  <c r="S19" i="1"/>
  <c r="AL19" i="1"/>
  <c r="AP19" i="1"/>
  <c r="AS19" i="1"/>
  <c r="L19" i="1" s="1"/>
  <c r="O19" i="1" s="1"/>
  <c r="AV19" i="1"/>
  <c r="AY19" i="1"/>
  <c r="BA19" i="1" s="1"/>
  <c r="AZ19" i="1"/>
  <c r="BB19" i="1"/>
  <c r="BC19" i="1"/>
  <c r="S41" i="1"/>
  <c r="U41" i="1" s="1"/>
  <c r="AL41" i="1"/>
  <c r="AP41" i="1"/>
  <c r="AR41" i="1"/>
  <c r="AS41" i="1"/>
  <c r="L41" i="1" s="1"/>
  <c r="AV41" i="1"/>
  <c r="AW41" i="1" s="1"/>
  <c r="AY41" i="1"/>
  <c r="BB41" i="1"/>
  <c r="S42" i="1"/>
  <c r="U42" i="1" s="1"/>
  <c r="AL42" i="1"/>
  <c r="AP42" i="1"/>
  <c r="AR42" i="1"/>
  <c r="AS42" i="1"/>
  <c r="L42" i="1" s="1"/>
  <c r="M42" i="1" s="1"/>
  <c r="AV42" i="1"/>
  <c r="AU42" i="1" s="1"/>
  <c r="AY42" i="1"/>
  <c r="BB42" i="1"/>
  <c r="S33" i="1"/>
  <c r="U33" i="1" s="1"/>
  <c r="AL33" i="1"/>
  <c r="AP33" i="1"/>
  <c r="AR33" i="1"/>
  <c r="AS33" i="1"/>
  <c r="L33" i="1" s="1"/>
  <c r="AV33" i="1"/>
  <c r="AU33" i="1" s="1"/>
  <c r="AY33" i="1"/>
  <c r="BA33" i="1" s="1"/>
  <c r="AZ33" i="1"/>
  <c r="BB33" i="1"/>
  <c r="BC33" i="1"/>
  <c r="S34" i="1"/>
  <c r="AO34" i="1" s="1"/>
  <c r="AL34" i="1"/>
  <c r="AP34" i="1"/>
  <c r="AR34" i="1"/>
  <c r="AS34" i="1"/>
  <c r="AT34" i="1" s="1"/>
  <c r="AV34" i="1"/>
  <c r="AU34" i="1" s="1"/>
  <c r="AY34" i="1"/>
  <c r="BA34" i="1" s="1"/>
  <c r="AZ34" i="1"/>
  <c r="BB34" i="1"/>
  <c r="BC34" i="1"/>
  <c r="S35" i="1"/>
  <c r="AL35" i="1"/>
  <c r="AP35" i="1"/>
  <c r="AR35" i="1"/>
  <c r="AS35" i="1"/>
  <c r="AT35" i="1" s="1"/>
  <c r="AV35" i="1"/>
  <c r="AU35" i="1" s="1"/>
  <c r="AY35" i="1"/>
  <c r="AZ35" i="1"/>
  <c r="BB35" i="1"/>
  <c r="S28" i="1"/>
  <c r="U28" i="1" s="1"/>
  <c r="AL28" i="1"/>
  <c r="AP28" i="1"/>
  <c r="AR28" i="1"/>
  <c r="AS28" i="1"/>
  <c r="AT28" i="1" s="1"/>
  <c r="AV28" i="1"/>
  <c r="AU28" i="1" s="1"/>
  <c r="AY28" i="1"/>
  <c r="BA28" i="1" s="1"/>
  <c r="AZ28" i="1"/>
  <c r="BB28" i="1"/>
  <c r="BC28" i="1"/>
  <c r="S53" i="1"/>
  <c r="U53" i="1" s="1"/>
  <c r="AL53" i="1"/>
  <c r="AP53" i="1"/>
  <c r="AR53" i="1"/>
  <c r="AS53" i="1"/>
  <c r="AT53" i="1" s="1"/>
  <c r="AV53" i="1"/>
  <c r="AU53" i="1" s="1"/>
  <c r="AY53" i="1"/>
  <c r="AZ53" i="1"/>
  <c r="BB53" i="1"/>
  <c r="S54" i="1"/>
  <c r="U54" i="1" s="1"/>
  <c r="AL54" i="1"/>
  <c r="AP54" i="1"/>
  <c r="AR54" i="1"/>
  <c r="AS54" i="1"/>
  <c r="L54" i="1" s="1"/>
  <c r="AV54" i="1"/>
  <c r="AY54" i="1"/>
  <c r="BB54" i="1"/>
  <c r="S55" i="1"/>
  <c r="AO55" i="1" s="1"/>
  <c r="AL55" i="1"/>
  <c r="AP55" i="1"/>
  <c r="AR55" i="1"/>
  <c r="AS55" i="1"/>
  <c r="AT55" i="1" s="1"/>
  <c r="AV55" i="1"/>
  <c r="AW55" i="1" s="1"/>
  <c r="AY55" i="1"/>
  <c r="BB55" i="1"/>
  <c r="S29" i="1"/>
  <c r="U29" i="1" s="1"/>
  <c r="AL29" i="1"/>
  <c r="AP29" i="1"/>
  <c r="AR29" i="1"/>
  <c r="AS29" i="1"/>
  <c r="AV29" i="1"/>
  <c r="AU29" i="1" s="1"/>
  <c r="AY29" i="1"/>
  <c r="BB29" i="1"/>
  <c r="S43" i="1"/>
  <c r="AO43" i="1" s="1"/>
  <c r="AL43" i="1"/>
  <c r="AP43" i="1"/>
  <c r="AR43" i="1"/>
  <c r="AS43" i="1"/>
  <c r="L43" i="1" s="1"/>
  <c r="M43" i="1" s="1"/>
  <c r="Q43" i="1" s="1"/>
  <c r="P43" i="1" s="1"/>
  <c r="AV43" i="1"/>
  <c r="AU43" i="1" s="1"/>
  <c r="AY43" i="1"/>
  <c r="AZ43" i="1"/>
  <c r="BB43" i="1"/>
  <c r="S36" i="1"/>
  <c r="AO36" i="1" s="1"/>
  <c r="AL36" i="1"/>
  <c r="AP36" i="1"/>
  <c r="AR36" i="1"/>
  <c r="AS36" i="1"/>
  <c r="L36" i="1" s="1"/>
  <c r="M36" i="1" s="1"/>
  <c r="Q36" i="1" s="1"/>
  <c r="P36" i="1" s="1"/>
  <c r="AV36" i="1"/>
  <c r="AW36" i="1" s="1"/>
  <c r="AY36" i="1"/>
  <c r="BA36" i="1" s="1"/>
  <c r="AZ36" i="1"/>
  <c r="BB36" i="1"/>
  <c r="BC36" i="1"/>
  <c r="S44" i="1"/>
  <c r="AO44" i="1" s="1"/>
  <c r="AL44" i="1"/>
  <c r="AP44" i="1"/>
  <c r="AR44" i="1"/>
  <c r="AS44" i="1"/>
  <c r="L44" i="1" s="1"/>
  <c r="AV44" i="1"/>
  <c r="AY44" i="1"/>
  <c r="AZ44" i="1"/>
  <c r="BB44" i="1"/>
  <c r="S37" i="1"/>
  <c r="AO37" i="1" s="1"/>
  <c r="AL37" i="1"/>
  <c r="AP37" i="1"/>
  <c r="AR37" i="1"/>
  <c r="AS37" i="1"/>
  <c r="AT37" i="1" s="1"/>
  <c r="AV37" i="1"/>
  <c r="AW37" i="1" s="1"/>
  <c r="AY37" i="1"/>
  <c r="BB37" i="1"/>
  <c r="S56" i="1"/>
  <c r="AL56" i="1"/>
  <c r="AP56" i="1"/>
  <c r="AR56" i="1"/>
  <c r="AS56" i="1"/>
  <c r="AV56" i="1"/>
  <c r="AU56" i="1" s="1"/>
  <c r="AY56" i="1"/>
  <c r="BB56" i="1"/>
  <c r="S51" i="1"/>
  <c r="AO51" i="1" s="1"/>
  <c r="AL51" i="1"/>
  <c r="AP51" i="1"/>
  <c r="AR51" i="1"/>
  <c r="AS51" i="1"/>
  <c r="AT51" i="1" s="1"/>
  <c r="AV51" i="1"/>
  <c r="AU51" i="1" s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AY45" i="1"/>
  <c r="AZ45" i="1"/>
  <c r="BB45" i="1"/>
  <c r="S46" i="1"/>
  <c r="AO46" i="1" s="1"/>
  <c r="U46" i="1"/>
  <c r="AL46" i="1"/>
  <c r="AP46" i="1"/>
  <c r="AR46" i="1"/>
  <c r="AS46" i="1"/>
  <c r="AT46" i="1" s="1"/>
  <c r="AV46" i="1"/>
  <c r="AU46" i="1" s="1"/>
  <c r="AY46" i="1"/>
  <c r="BB46" i="1"/>
  <c r="S47" i="1"/>
  <c r="AO47" i="1" s="1"/>
  <c r="AL47" i="1"/>
  <c r="AP47" i="1"/>
  <c r="AR47" i="1"/>
  <c r="AS47" i="1"/>
  <c r="L47" i="1" s="1"/>
  <c r="M47" i="1" s="1"/>
  <c r="AV47" i="1"/>
  <c r="AY47" i="1"/>
  <c r="BB47" i="1"/>
  <c r="S48" i="1"/>
  <c r="AO48" i="1" s="1"/>
  <c r="AL48" i="1"/>
  <c r="AP48" i="1"/>
  <c r="AR48" i="1"/>
  <c r="AS48" i="1"/>
  <c r="L48" i="1" s="1"/>
  <c r="M48" i="1" s="1"/>
  <c r="AV48" i="1"/>
  <c r="AY48" i="1"/>
  <c r="AZ48" i="1"/>
  <c r="BB48" i="1"/>
  <c r="S57" i="1"/>
  <c r="AO57" i="1" s="1"/>
  <c r="AL57" i="1"/>
  <c r="AP57" i="1"/>
  <c r="AR57" i="1"/>
  <c r="AS57" i="1"/>
  <c r="AT57" i="1" s="1"/>
  <c r="AV57" i="1"/>
  <c r="AW57" i="1" s="1"/>
  <c r="AY57" i="1"/>
  <c r="AZ57" i="1"/>
  <c r="BB57" i="1"/>
  <c r="S38" i="1"/>
  <c r="U38" i="1" s="1"/>
  <c r="AL38" i="1"/>
  <c r="AP38" i="1"/>
  <c r="AR38" i="1"/>
  <c r="AS38" i="1"/>
  <c r="AT38" i="1" s="1"/>
  <c r="AV38" i="1"/>
  <c r="AU38" i="1" s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M49" i="1" s="1"/>
  <c r="Q49" i="1" s="1"/>
  <c r="P49" i="1" s="1"/>
  <c r="AV49" i="1"/>
  <c r="AU49" i="1" s="1"/>
  <c r="AY49" i="1"/>
  <c r="AZ49" i="1"/>
  <c r="BB49" i="1"/>
  <c r="S50" i="1"/>
  <c r="U50" i="1" s="1"/>
  <c r="AL50" i="1"/>
  <c r="AP50" i="1"/>
  <c r="AR50" i="1"/>
  <c r="AS50" i="1"/>
  <c r="AV50" i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U52" i="1" s="1"/>
  <c r="AY52" i="1"/>
  <c r="AZ52" i="1"/>
  <c r="BB52" i="1"/>
  <c r="S39" i="1"/>
  <c r="AO39" i="1" s="1"/>
  <c r="AL39" i="1"/>
  <c r="AP39" i="1"/>
  <c r="AR39" i="1"/>
  <c r="AS39" i="1"/>
  <c r="AV39" i="1"/>
  <c r="AW39" i="1" s="1"/>
  <c r="AY39" i="1"/>
  <c r="BA39" i="1" s="1"/>
  <c r="AZ39" i="1"/>
  <c r="BB39" i="1"/>
  <c r="BC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U22" i="1" s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W23" i="1" s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U24" i="1" s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U58" i="1" s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U59" i="1" s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U60" i="1" s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W61" i="1" s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AV62" i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AV63" i="1"/>
  <c r="AU63" i="1" s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U64" i="1" s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AV65" i="1"/>
  <c r="AW65" i="1" s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W66" i="1" s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AV67" i="1"/>
  <c r="AU67" i="1" s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W68" i="1" s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U69" i="1" s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AV70" i="1"/>
  <c r="AW70" i="1" s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W71" i="1" s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AV72" i="1"/>
  <c r="AU72" i="1" s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U73" i="1" s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AV74" i="1"/>
  <c r="AU74" i="1" s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AV75" i="1"/>
  <c r="AU75" i="1" s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AV76" i="1"/>
  <c r="AU76" i="1" s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AV77" i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AV78" i="1"/>
  <c r="AU78" i="1" s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U79" i="1" s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AV80" i="1"/>
  <c r="AU80" i="1" s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U81" i="1" s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AV82" i="1"/>
  <c r="AW82" i="1" s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AV83" i="1"/>
  <c r="AU83" i="1" s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AV84" i="1"/>
  <c r="AU84" i="1" s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AV85" i="1"/>
  <c r="AW85" i="1" s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U86" i="1" s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AV87" i="1"/>
  <c r="AU87" i="1" s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W88" i="1" s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U89" i="1" s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U90" i="1" s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U91" i="1" s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AV92" i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AV93" i="1"/>
  <c r="AU93" i="1" s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AV94" i="1"/>
  <c r="AU94" i="1" s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AV95" i="1"/>
  <c r="AU95" i="1" s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AV96" i="1"/>
  <c r="AU96" i="1" s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AV97" i="1"/>
  <c r="AW97" i="1" s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U98" i="1" s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U99" i="1" s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AV100" i="1"/>
  <c r="AU100" i="1" s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W101" i="1" s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AV102" i="1"/>
  <c r="AU102" i="1" s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U103" i="1" s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U104" i="1" s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U105" i="1" s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W106" i="1" s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U107" i="1" s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AV108" i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AV110" i="1"/>
  <c r="AU110" i="1" s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AV111" i="1"/>
  <c r="AU111" i="1" s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U112" i="1" s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W113" i="1" s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AV114" i="1"/>
  <c r="AU114" i="1" s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AV115" i="1"/>
  <c r="AU115" i="1" s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M116" i="1" s="1"/>
  <c r="Q116" i="1" s="1"/>
  <c r="P116" i="1" s="1"/>
  <c r="AV116" i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M117" i="1" s="1"/>
  <c r="AV117" i="1"/>
  <c r="AU117" i="1" s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AV118" i="1"/>
  <c r="AU118" i="1" s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AV119" i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AV120" i="1"/>
  <c r="AU120" i="1" s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U122" i="1" s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AV123" i="1"/>
  <c r="AU123" i="1" s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AT124" i="1"/>
  <c r="AV124" i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U125" i="1" s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U126" i="1" s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AV127" i="1"/>
  <c r="AU127" i="1" s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AV128" i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M129" i="1" s="1"/>
  <c r="AV129" i="1"/>
  <c r="AW129" i="1" s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AV130" i="1"/>
  <c r="AU130" i="1" s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AV131" i="1"/>
  <c r="AU131" i="1" s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U132" i="1" s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AV133" i="1"/>
  <c r="AW133" i="1" s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U134" i="1" s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AV135" i="1"/>
  <c r="AU135" i="1" s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AV136" i="1"/>
  <c r="AU136" i="1" s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AV137" i="1"/>
  <c r="AU137" i="1" s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AV138" i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M139" i="1" s="1"/>
  <c r="AT139" i="1"/>
  <c r="AV139" i="1"/>
  <c r="AU139" i="1" s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AV140" i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AV141" i="1"/>
  <c r="AW141" i="1" s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AV142" i="1"/>
  <c r="AU142" i="1" s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AV143" i="1"/>
  <c r="AU143" i="1" s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AV144" i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W145" i="1" s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U146" i="1" s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AV147" i="1"/>
  <c r="AU147" i="1" s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U148" i="1" s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AV149" i="1"/>
  <c r="AW149" i="1" s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AV150" i="1"/>
  <c r="AU150" i="1" s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U151" i="1" s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U152" i="1" s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AV153" i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U154" i="1" s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AV155" i="1"/>
  <c r="AW155" i="1" s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AV156" i="1"/>
  <c r="AU156" i="1" s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AV157" i="1"/>
  <c r="AU157" i="1" s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AV158" i="1"/>
  <c r="AW158" i="1" s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U159" i="1" s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AV160" i="1"/>
  <c r="AU160" i="1" s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AV161" i="1"/>
  <c r="AU161" i="1" s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U162" i="1" s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AT163" i="1"/>
  <c r="AV163" i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U166" i="1" s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AV167" i="1"/>
  <c r="AW167" i="1" s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AV168" i="1"/>
  <c r="AU168" i="1" s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AV169" i="1"/>
  <c r="AU169" i="1" s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AV170" i="1"/>
  <c r="AW170" i="1" s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U171" i="1" s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AV172" i="1"/>
  <c r="AU172" i="1" s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AV173" i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U174" i="1" s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AV175" i="1"/>
  <c r="AW175" i="1" s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U176" i="1" s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M177" i="1" s="1"/>
  <c r="Q177" i="1" s="1"/>
  <c r="P177" i="1" s="1"/>
  <c r="AV177" i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AV179" i="1"/>
  <c r="AW179" i="1" s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AV180" i="1"/>
  <c r="AU180" i="1" s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AV181" i="1"/>
  <c r="AU181" i="1" s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AV182" i="1"/>
  <c r="AW182" i="1" s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U183" i="1" s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U185" i="1" s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AV186" i="1"/>
  <c r="AU186" i="1" s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U187" i="1" s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AV188" i="1"/>
  <c r="AW188" i="1" s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AV189" i="1"/>
  <c r="AW189" i="1" s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AV190" i="1"/>
  <c r="AU190" i="1" s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AV191" i="1"/>
  <c r="AW191" i="1" s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W192" i="1" s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AV193" i="1"/>
  <c r="AW193" i="1" s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AV194" i="1"/>
  <c r="AU194" i="1" s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AV195" i="1"/>
  <c r="AU195" i="1" s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U197" i="1" s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AV198" i="1"/>
  <c r="AU198" i="1" s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AV199" i="1"/>
  <c r="AU199" i="1" s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U200" i="1" s="1"/>
  <c r="AY200" i="1"/>
  <c r="BA200" i="1" s="1"/>
  <c r="AZ200" i="1"/>
  <c r="BB200" i="1"/>
  <c r="BC200" i="1"/>
  <c r="BB14" i="1"/>
  <c r="AY14" i="1"/>
  <c r="AW18" i="1" l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O20" i="1"/>
  <c r="BH178" i="1"/>
  <c r="BH166" i="1"/>
  <c r="BH154" i="1"/>
  <c r="BH142" i="1"/>
  <c r="BH130" i="1"/>
  <c r="BH118" i="1"/>
  <c r="BH106" i="1"/>
  <c r="BH94" i="1"/>
  <c r="BH82" i="1"/>
  <c r="BH70" i="1"/>
  <c r="BH58" i="1"/>
  <c r="BH136" i="1"/>
  <c r="BH124" i="1"/>
  <c r="BH112" i="1"/>
  <c r="BH100" i="1"/>
  <c r="BH88" i="1"/>
  <c r="BH76" i="1"/>
  <c r="BH64" i="1"/>
  <c r="BH36" i="1"/>
  <c r="BH26" i="1"/>
  <c r="BH122" i="1"/>
  <c r="BH110" i="1"/>
  <c r="BH98" i="1"/>
  <c r="BH86" i="1"/>
  <c r="BH74" i="1"/>
  <c r="BH62" i="1"/>
  <c r="BH32" i="1"/>
  <c r="BH189" i="1"/>
  <c r="BH177" i="1"/>
  <c r="BH165" i="1"/>
  <c r="BH153" i="1"/>
  <c r="BH141" i="1"/>
  <c r="BH129" i="1"/>
  <c r="BH117" i="1"/>
  <c r="BH105" i="1"/>
  <c r="BH93" i="1"/>
  <c r="BH81" i="1"/>
  <c r="BH69" i="1"/>
  <c r="BH24" i="1"/>
  <c r="BH34" i="1"/>
  <c r="BH200" i="1"/>
  <c r="BH188" i="1"/>
  <c r="BH176" i="1"/>
  <c r="BH164" i="1"/>
  <c r="BH152" i="1"/>
  <c r="BH140" i="1"/>
  <c r="BH128" i="1"/>
  <c r="BH116" i="1"/>
  <c r="BH104" i="1"/>
  <c r="BH92" i="1"/>
  <c r="BH80" i="1"/>
  <c r="BH68" i="1"/>
  <c r="BH23" i="1"/>
  <c r="BH51" i="1"/>
  <c r="BH33" i="1"/>
  <c r="BH190" i="1"/>
  <c r="BH199" i="1"/>
  <c r="BH187" i="1"/>
  <c r="BH175" i="1"/>
  <c r="BH163" i="1"/>
  <c r="BH151" i="1"/>
  <c r="BH139" i="1"/>
  <c r="BH127" i="1"/>
  <c r="BH115" i="1"/>
  <c r="BH103" i="1"/>
  <c r="BH91" i="1"/>
  <c r="BH79" i="1"/>
  <c r="BH67" i="1"/>
  <c r="BH22" i="1"/>
  <c r="BH198" i="1"/>
  <c r="BH186" i="1"/>
  <c r="BH174" i="1"/>
  <c r="BH162" i="1"/>
  <c r="BH150" i="1"/>
  <c r="BH138" i="1"/>
  <c r="BH126" i="1"/>
  <c r="BH114" i="1"/>
  <c r="BH102" i="1"/>
  <c r="BH90" i="1"/>
  <c r="BH78" i="1"/>
  <c r="BH66" i="1"/>
  <c r="BH39" i="1"/>
  <c r="AZ41" i="1"/>
  <c r="BE41" i="1"/>
  <c r="AZ46" i="1"/>
  <c r="BE46" i="1"/>
  <c r="BH197" i="1"/>
  <c r="BH185" i="1"/>
  <c r="BH173" i="1"/>
  <c r="BH161" i="1"/>
  <c r="BH149" i="1"/>
  <c r="BH137" i="1"/>
  <c r="BH125" i="1"/>
  <c r="BH113" i="1"/>
  <c r="BH101" i="1"/>
  <c r="BH89" i="1"/>
  <c r="BH77" i="1"/>
  <c r="BH65" i="1"/>
  <c r="BH27" i="1"/>
  <c r="BH196" i="1"/>
  <c r="BH184" i="1"/>
  <c r="BH172" i="1"/>
  <c r="BH160" i="1"/>
  <c r="BH148" i="1"/>
  <c r="AZ50" i="1"/>
  <c r="BE50" i="1"/>
  <c r="BH195" i="1"/>
  <c r="BH183" i="1"/>
  <c r="BH171" i="1"/>
  <c r="BH159" i="1"/>
  <c r="BH147" i="1"/>
  <c r="BH135" i="1"/>
  <c r="BH123" i="1"/>
  <c r="BH111" i="1"/>
  <c r="BH99" i="1"/>
  <c r="BH87" i="1"/>
  <c r="BH75" i="1"/>
  <c r="BH63" i="1"/>
  <c r="AZ40" i="1"/>
  <c r="BE40" i="1"/>
  <c r="BH194" i="1"/>
  <c r="BH182" i="1"/>
  <c r="BH170" i="1"/>
  <c r="BH158" i="1"/>
  <c r="BH146" i="1"/>
  <c r="BH134" i="1"/>
  <c r="BH38" i="1"/>
  <c r="AZ29" i="1"/>
  <c r="BE29" i="1"/>
  <c r="BH193" i="1"/>
  <c r="BH181" i="1"/>
  <c r="BH169" i="1"/>
  <c r="BH157" i="1"/>
  <c r="BH145" i="1"/>
  <c r="BH133" i="1"/>
  <c r="BH121" i="1"/>
  <c r="BH109" i="1"/>
  <c r="BH97" i="1"/>
  <c r="BH85" i="1"/>
  <c r="BH73" i="1"/>
  <c r="BH61" i="1"/>
  <c r="AZ55" i="1"/>
  <c r="BE55" i="1"/>
  <c r="BH31" i="1"/>
  <c r="BH192" i="1"/>
  <c r="BH180" i="1"/>
  <c r="BH168" i="1"/>
  <c r="BH156" i="1"/>
  <c r="BH144" i="1"/>
  <c r="BH132" i="1"/>
  <c r="BH120" i="1"/>
  <c r="BH108" i="1"/>
  <c r="BH96" i="1"/>
  <c r="BH84" i="1"/>
  <c r="BH72" i="1"/>
  <c r="BH60" i="1"/>
  <c r="AZ54" i="1"/>
  <c r="BE54" i="1"/>
  <c r="AZ30" i="1"/>
  <c r="BE30" i="1"/>
  <c r="BH191" i="1"/>
  <c r="BH179" i="1"/>
  <c r="BH167" i="1"/>
  <c r="BH155" i="1"/>
  <c r="BH143" i="1"/>
  <c r="BH131" i="1"/>
  <c r="BH119" i="1"/>
  <c r="BH107" i="1"/>
  <c r="BH95" i="1"/>
  <c r="BH83" i="1"/>
  <c r="BH71" i="1"/>
  <c r="BH59" i="1"/>
  <c r="AZ47" i="1"/>
  <c r="BE47" i="1"/>
  <c r="BH28" i="1"/>
  <c r="BH25" i="1"/>
  <c r="U57" i="1"/>
  <c r="AO119" i="1"/>
  <c r="AT194" i="1"/>
  <c r="AW181" i="1"/>
  <c r="AU88" i="1"/>
  <c r="AU32" i="1"/>
  <c r="U122" i="1"/>
  <c r="AO142" i="1"/>
  <c r="AT82" i="1"/>
  <c r="AU191" i="1"/>
  <c r="AU71" i="1"/>
  <c r="N71" i="1" s="1"/>
  <c r="AO140" i="1"/>
  <c r="U91" i="1"/>
  <c r="BA45" i="1"/>
  <c r="BC45" i="1" s="1"/>
  <c r="BH45" i="1" s="1"/>
  <c r="AW200" i="1"/>
  <c r="AU167" i="1"/>
  <c r="N167" i="1" s="1"/>
  <c r="U110" i="1"/>
  <c r="AW52" i="1"/>
  <c r="AT182" i="1"/>
  <c r="U161" i="1"/>
  <c r="L23" i="1"/>
  <c r="AU39" i="1"/>
  <c r="AU155" i="1"/>
  <c r="N155" i="1" s="1"/>
  <c r="U148" i="1"/>
  <c r="AT137" i="1"/>
  <c r="AW56" i="1"/>
  <c r="AO176" i="1"/>
  <c r="N198" i="1"/>
  <c r="AW103" i="1"/>
  <c r="U95" i="1"/>
  <c r="U94" i="1"/>
  <c r="U182" i="1"/>
  <c r="AW147" i="1"/>
  <c r="AO76" i="1"/>
  <c r="AO74" i="1"/>
  <c r="AT32" i="1"/>
  <c r="U195" i="1"/>
  <c r="AW110" i="1"/>
  <c r="AU85" i="1"/>
  <c r="N85" i="1" s="1"/>
  <c r="L51" i="1"/>
  <c r="M51" i="1" s="1"/>
  <c r="AF51" i="1" s="1"/>
  <c r="AU182" i="1"/>
  <c r="AT173" i="1"/>
  <c r="AW90" i="1"/>
  <c r="U61" i="1"/>
  <c r="U147" i="1"/>
  <c r="AW137" i="1"/>
  <c r="U65" i="1"/>
  <c r="L28" i="1"/>
  <c r="M28" i="1" s="1"/>
  <c r="AW198" i="1"/>
  <c r="U170" i="1"/>
  <c r="AO164" i="1"/>
  <c r="AW154" i="1"/>
  <c r="AW131" i="1"/>
  <c r="U102" i="1"/>
  <c r="AT199" i="1"/>
  <c r="AO186" i="1"/>
  <c r="AW152" i="1"/>
  <c r="AW151" i="1"/>
  <c r="AW130" i="1"/>
  <c r="AW127" i="1"/>
  <c r="AO80" i="1"/>
  <c r="AT153" i="1"/>
  <c r="AW150" i="1"/>
  <c r="AO135" i="1"/>
  <c r="AW42" i="1"/>
  <c r="AT180" i="1"/>
  <c r="AT177" i="1"/>
  <c r="AW176" i="1"/>
  <c r="U139" i="1"/>
  <c r="AO134" i="1"/>
  <c r="AT129" i="1"/>
  <c r="U73" i="1"/>
  <c r="AU170" i="1"/>
  <c r="N170" i="1" s="1"/>
  <c r="AU149" i="1"/>
  <c r="N149" i="1" s="1"/>
  <c r="AW126" i="1"/>
  <c r="AW123" i="1"/>
  <c r="U71" i="1"/>
  <c r="AW59" i="1"/>
  <c r="AT42" i="1"/>
  <c r="AO41" i="1"/>
  <c r="AO198" i="1"/>
  <c r="AU193" i="1"/>
  <c r="N193" i="1" s="1"/>
  <c r="AT170" i="1"/>
  <c r="AW169" i="1"/>
  <c r="AT149" i="1"/>
  <c r="AW143" i="1"/>
  <c r="AT119" i="1"/>
  <c r="AT102" i="1"/>
  <c r="AU66" i="1"/>
  <c r="AO180" i="1"/>
  <c r="AW168" i="1"/>
  <c r="AO127" i="1"/>
  <c r="AW115" i="1"/>
  <c r="AW114" i="1"/>
  <c r="AW112" i="1"/>
  <c r="AT193" i="1"/>
  <c r="AW186" i="1"/>
  <c r="AT169" i="1"/>
  <c r="AW162" i="1"/>
  <c r="AW161" i="1"/>
  <c r="AT141" i="1"/>
  <c r="AT140" i="1"/>
  <c r="AT117" i="1"/>
  <c r="AT116" i="1"/>
  <c r="AO103" i="1"/>
  <c r="AT76" i="1"/>
  <c r="AW75" i="1"/>
  <c r="AU55" i="1"/>
  <c r="AW190" i="1"/>
  <c r="AT188" i="1"/>
  <c r="AT156" i="1"/>
  <c r="AW136" i="1"/>
  <c r="N93" i="1"/>
  <c r="N99" i="1"/>
  <c r="N143" i="1"/>
  <c r="N174" i="1"/>
  <c r="N126" i="1"/>
  <c r="N123" i="1"/>
  <c r="N102" i="1"/>
  <c r="N180" i="1"/>
  <c r="N127" i="1"/>
  <c r="N122" i="1"/>
  <c r="N94" i="1"/>
  <c r="N125" i="1"/>
  <c r="N142" i="1"/>
  <c r="N117" i="1"/>
  <c r="N76" i="1"/>
  <c r="N67" i="1"/>
  <c r="N64" i="1"/>
  <c r="N118" i="1"/>
  <c r="N115" i="1"/>
  <c r="N112" i="1"/>
  <c r="AT18" i="1"/>
  <c r="N172" i="1"/>
  <c r="N148" i="1"/>
  <c r="N105" i="1"/>
  <c r="N100" i="1"/>
  <c r="N114" i="1"/>
  <c r="N197" i="1"/>
  <c r="N171" i="1"/>
  <c r="N169" i="1"/>
  <c r="N146" i="1"/>
  <c r="N185" i="1"/>
  <c r="N135" i="1"/>
  <c r="N81" i="1"/>
  <c r="N200" i="1"/>
  <c r="N190" i="1"/>
  <c r="N136" i="1"/>
  <c r="N134" i="1"/>
  <c r="N83" i="1"/>
  <c r="N154" i="1"/>
  <c r="N131" i="1"/>
  <c r="N91" i="1"/>
  <c r="N87" i="1"/>
  <c r="N195" i="1"/>
  <c r="N152" i="1"/>
  <c r="N151" i="1"/>
  <c r="N130" i="1"/>
  <c r="N147" i="1"/>
  <c r="N120" i="1"/>
  <c r="N66" i="1"/>
  <c r="N168" i="1"/>
  <c r="N139" i="1"/>
  <c r="N191" i="1"/>
  <c r="N187" i="1"/>
  <c r="N186" i="1"/>
  <c r="N183" i="1"/>
  <c r="N182" i="1"/>
  <c r="N166" i="1"/>
  <c r="N162" i="1"/>
  <c r="N161" i="1"/>
  <c r="N160" i="1"/>
  <c r="N159" i="1"/>
  <c r="N156" i="1"/>
  <c r="N80" i="1"/>
  <c r="N73" i="1"/>
  <c r="N72" i="1"/>
  <c r="N38" i="1"/>
  <c r="N157" i="1"/>
  <c r="N137" i="1"/>
  <c r="N84" i="1"/>
  <c r="N199" i="1"/>
  <c r="N181" i="1"/>
  <c r="N88" i="1"/>
  <c r="N22" i="1"/>
  <c r="N132" i="1"/>
  <c r="N96" i="1"/>
  <c r="N150" i="1"/>
  <c r="N194" i="1"/>
  <c r="N176" i="1"/>
  <c r="N103" i="1"/>
  <c r="N58" i="1"/>
  <c r="N90" i="1"/>
  <c r="N89" i="1"/>
  <c r="AW86" i="1"/>
  <c r="AU57" i="1"/>
  <c r="L45" i="1"/>
  <c r="M45" i="1" s="1"/>
  <c r="AF45" i="1" s="1"/>
  <c r="U107" i="1"/>
  <c r="N86" i="1"/>
  <c r="U68" i="1"/>
  <c r="U47" i="1"/>
  <c r="L46" i="1"/>
  <c r="M46" i="1" s="1"/>
  <c r="AF46" i="1" s="1"/>
  <c r="N28" i="1"/>
  <c r="U27" i="1"/>
  <c r="N111" i="1"/>
  <c r="N78" i="1"/>
  <c r="AT111" i="1"/>
  <c r="N110" i="1"/>
  <c r="N79" i="1"/>
  <c r="AT78" i="1"/>
  <c r="N75" i="1"/>
  <c r="AU23" i="1"/>
  <c r="N23" i="1" s="1"/>
  <c r="U37" i="1"/>
  <c r="AO86" i="1"/>
  <c r="N74" i="1"/>
  <c r="AW72" i="1"/>
  <c r="AT108" i="1"/>
  <c r="N107" i="1"/>
  <c r="U88" i="1"/>
  <c r="U39" i="1"/>
  <c r="AU106" i="1"/>
  <c r="N106" i="1" s="1"/>
  <c r="N104" i="1"/>
  <c r="AW96" i="1"/>
  <c r="N95" i="1"/>
  <c r="AT33" i="1"/>
  <c r="N27" i="1"/>
  <c r="BA30" i="1"/>
  <c r="BC30" i="1" s="1"/>
  <c r="N30" i="1" s="1"/>
  <c r="AW93" i="1"/>
  <c r="AW99" i="1"/>
  <c r="N98" i="1"/>
  <c r="AT63" i="1"/>
  <c r="AW30" i="1"/>
  <c r="AT25" i="1"/>
  <c r="L16" i="1"/>
  <c r="AU18" i="1"/>
  <c r="AT15" i="1"/>
  <c r="AW24" i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AW139" i="1"/>
  <c r="AT136" i="1"/>
  <c r="AU133" i="1"/>
  <c r="N133" i="1" s="1"/>
  <c r="AW118" i="1"/>
  <c r="AT114" i="1"/>
  <c r="U105" i="1"/>
  <c r="AT96" i="1"/>
  <c r="AT93" i="1"/>
  <c r="AW79" i="1"/>
  <c r="AW64" i="1"/>
  <c r="AU20" i="1"/>
  <c r="AW51" i="1"/>
  <c r="L165" i="1"/>
  <c r="M165" i="1" s="1"/>
  <c r="AF165" i="1" s="1"/>
  <c r="L105" i="1"/>
  <c r="M105" i="1" s="1"/>
  <c r="L81" i="1"/>
  <c r="L69" i="1"/>
  <c r="AO183" i="1"/>
  <c r="AO171" i="1"/>
  <c r="AW166" i="1"/>
  <c r="AO159" i="1"/>
  <c r="AT127" i="1"/>
  <c r="AT123" i="1"/>
  <c r="AW122" i="1"/>
  <c r="AW117" i="1"/>
  <c r="AW102" i="1"/>
  <c r="AT92" i="1"/>
  <c r="AW91" i="1"/>
  <c r="AW87" i="1"/>
  <c r="AO84" i="1"/>
  <c r="AW78" i="1"/>
  <c r="AW74" i="1"/>
  <c r="AT72" i="1"/>
  <c r="AU61" i="1"/>
  <c r="N61" i="1" s="1"/>
  <c r="N39" i="1"/>
  <c r="N51" i="1"/>
  <c r="BA55" i="1"/>
  <c r="BC55" i="1" s="1"/>
  <c r="L200" i="1"/>
  <c r="L176" i="1"/>
  <c r="L164" i="1"/>
  <c r="L152" i="1"/>
  <c r="L104" i="1"/>
  <c r="L68" i="1"/>
  <c r="AW195" i="1"/>
  <c r="AT190" i="1"/>
  <c r="AW185" i="1"/>
  <c r="AT161" i="1"/>
  <c r="AT158" i="1"/>
  <c r="U151" i="1"/>
  <c r="AT143" i="1"/>
  <c r="U141" i="1"/>
  <c r="AT133" i="1"/>
  <c r="AW132" i="1"/>
  <c r="U115" i="1"/>
  <c r="U98" i="1"/>
  <c r="AW95" i="1"/>
  <c r="AT83" i="1"/>
  <c r="N63" i="1"/>
  <c r="N60" i="1"/>
  <c r="N59" i="1"/>
  <c r="AW21" i="1"/>
  <c r="BD21" i="1" s="1"/>
  <c r="AT20" i="1"/>
  <c r="AW29" i="1"/>
  <c r="AO53" i="1"/>
  <c r="L35" i="1"/>
  <c r="M35" i="1" s="1"/>
  <c r="Q35" i="1" s="1"/>
  <c r="P35" i="1" s="1"/>
  <c r="L34" i="1"/>
  <c r="M34" i="1" s="1"/>
  <c r="Q34" i="1" s="1"/>
  <c r="P34" i="1" s="1"/>
  <c r="L187" i="1"/>
  <c r="L151" i="1"/>
  <c r="M151" i="1" s="1"/>
  <c r="AK151" i="1" s="1"/>
  <c r="L103" i="1"/>
  <c r="L91" i="1"/>
  <c r="L79" i="1"/>
  <c r="AW157" i="1"/>
  <c r="AW142" i="1"/>
  <c r="AW135" i="1"/>
  <c r="AW105" i="1"/>
  <c r="AW76" i="1"/>
  <c r="N26" i="1"/>
  <c r="L174" i="1"/>
  <c r="L162" i="1"/>
  <c r="M162" i="1" s="1"/>
  <c r="AF162" i="1" s="1"/>
  <c r="L126" i="1"/>
  <c r="L90" i="1"/>
  <c r="L66" i="1"/>
  <c r="M66" i="1" s="1"/>
  <c r="AT195" i="1"/>
  <c r="AU179" i="1"/>
  <c r="N179" i="1" s="1"/>
  <c r="AW172" i="1"/>
  <c r="AW160" i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N24" i="1"/>
  <c r="BA44" i="1"/>
  <c r="AT43" i="1"/>
  <c r="AU16" i="1"/>
  <c r="L30" i="1"/>
  <c r="M30" i="1" s="1"/>
  <c r="Q30" i="1" s="1"/>
  <c r="P30" i="1" s="1"/>
  <c r="L197" i="1"/>
  <c r="M197" i="1" s="1"/>
  <c r="AF197" i="1" s="1"/>
  <c r="L185" i="1"/>
  <c r="L125" i="1"/>
  <c r="L113" i="1"/>
  <c r="L101" i="1"/>
  <c r="M101" i="1" s="1"/>
  <c r="Q101" i="1" s="1"/>
  <c r="P101" i="1" s="1"/>
  <c r="L89" i="1"/>
  <c r="L196" i="1"/>
  <c r="M196" i="1" s="1"/>
  <c r="L184" i="1"/>
  <c r="L148" i="1"/>
  <c r="L112" i="1"/>
  <c r="M112" i="1" s="1"/>
  <c r="L88" i="1"/>
  <c r="L64" i="1"/>
  <c r="U197" i="1"/>
  <c r="AU192" i="1"/>
  <c r="N192" i="1" s="1"/>
  <c r="AO190" i="1"/>
  <c r="AU189" i="1"/>
  <c r="N189" i="1" s="1"/>
  <c r="AU188" i="1"/>
  <c r="N188" i="1" s="1"/>
  <c r="AW171" i="1"/>
  <c r="AW159" i="1"/>
  <c r="AT157" i="1"/>
  <c r="AW148" i="1"/>
  <c r="AO146" i="1"/>
  <c r="AU141" i="1"/>
  <c r="N141" i="1" s="1"/>
  <c r="U136" i="1"/>
  <c r="AT135" i="1"/>
  <c r="AW125" i="1"/>
  <c r="AW111" i="1"/>
  <c r="AW94" i="1"/>
  <c r="AO83" i="1"/>
  <c r="BA35" i="1"/>
  <c r="BC35" i="1" s="1"/>
  <c r="N35" i="1" s="1"/>
  <c r="L183" i="1"/>
  <c r="L171" i="1"/>
  <c r="L159" i="1"/>
  <c r="L99" i="1"/>
  <c r="AW183" i="1"/>
  <c r="AT181" i="1"/>
  <c r="U173" i="1"/>
  <c r="AT120" i="1"/>
  <c r="AW104" i="1"/>
  <c r="AW84" i="1"/>
  <c r="AW73" i="1"/>
  <c r="AU70" i="1"/>
  <c r="N70" i="1" s="1"/>
  <c r="AU37" i="1"/>
  <c r="AO29" i="1"/>
  <c r="AW34" i="1"/>
  <c r="N33" i="1"/>
  <c r="AO26" i="1"/>
  <c r="BA46" i="1"/>
  <c r="BC46" i="1" s="1"/>
  <c r="N46" i="1" s="1"/>
  <c r="L146" i="1"/>
  <c r="L134" i="1"/>
  <c r="M134" i="1" s="1"/>
  <c r="L122" i="1"/>
  <c r="L98" i="1"/>
  <c r="L86" i="1"/>
  <c r="M86" i="1" s="1"/>
  <c r="AF86" i="1" s="1"/>
  <c r="AW194" i="1"/>
  <c r="AW156" i="1"/>
  <c r="AW134" i="1"/>
  <c r="AW107" i="1"/>
  <c r="N34" i="1"/>
  <c r="L145" i="1"/>
  <c r="L121" i="1"/>
  <c r="L109" i="1"/>
  <c r="M109" i="1" s="1"/>
  <c r="L73" i="1"/>
  <c r="M73" i="1" s="1"/>
  <c r="AF73" i="1" s="1"/>
  <c r="L61" i="1"/>
  <c r="M61" i="1" s="1"/>
  <c r="AF61" i="1" s="1"/>
  <c r="AW180" i="1"/>
  <c r="AW187" i="1"/>
  <c r="U185" i="1"/>
  <c r="AW174" i="1"/>
  <c r="U166" i="1"/>
  <c r="AT144" i="1"/>
  <c r="U116" i="1"/>
  <c r="AT84" i="1"/>
  <c r="AW80" i="1"/>
  <c r="N69" i="1"/>
  <c r="AW67" i="1"/>
  <c r="AW28" i="1"/>
  <c r="L192" i="1"/>
  <c r="M192" i="1" s="1"/>
  <c r="Q192" i="1" s="1"/>
  <c r="P192" i="1" s="1"/>
  <c r="L132" i="1"/>
  <c r="L60" i="1"/>
  <c r="M60" i="1" s="1"/>
  <c r="L107" i="1"/>
  <c r="L71" i="1"/>
  <c r="L59" i="1"/>
  <c r="N32" i="1"/>
  <c r="N31" i="1"/>
  <c r="L178" i="1"/>
  <c r="L166" i="1"/>
  <c r="L154" i="1"/>
  <c r="L106" i="1"/>
  <c r="M106" i="1" s="1"/>
  <c r="L58" i="1"/>
  <c r="M58" i="1" s="1"/>
  <c r="Q117" i="1"/>
  <c r="P117" i="1" s="1"/>
  <c r="AF117" i="1"/>
  <c r="AK117" i="1"/>
  <c r="AK177" i="1"/>
  <c r="AK114" i="1"/>
  <c r="M199" i="1"/>
  <c r="AF199" i="1" s="1"/>
  <c r="AK116" i="1"/>
  <c r="AK193" i="1"/>
  <c r="BA40" i="1"/>
  <c r="BC40" i="1" s="1"/>
  <c r="N40" i="1" s="1"/>
  <c r="AT68" i="1"/>
  <c r="AT49" i="1"/>
  <c r="L57" i="1"/>
  <c r="M57" i="1" s="1"/>
  <c r="U44" i="1"/>
  <c r="AO42" i="1"/>
  <c r="AT19" i="1"/>
  <c r="AW31" i="1"/>
  <c r="U30" i="1"/>
  <c r="AO24" i="1"/>
  <c r="BA48" i="1"/>
  <c r="BC48" i="1" s="1"/>
  <c r="BH48" i="1" s="1"/>
  <c r="AT47" i="1"/>
  <c r="L37" i="1"/>
  <c r="M37" i="1" s="1"/>
  <c r="AT54" i="1"/>
  <c r="AU17" i="1"/>
  <c r="BA41" i="1"/>
  <c r="BC41" i="1" s="1"/>
  <c r="BC44" i="1"/>
  <c r="BH44" i="1" s="1"/>
  <c r="AW63" i="1"/>
  <c r="AO59" i="1"/>
  <c r="U49" i="1"/>
  <c r="AT48" i="1"/>
  <c r="L26" i="1"/>
  <c r="M26" i="1" s="1"/>
  <c r="L40" i="1"/>
  <c r="M40" i="1" s="1"/>
  <c r="Q40" i="1" s="1"/>
  <c r="P40" i="1" s="1"/>
  <c r="BA50" i="1"/>
  <c r="BC50" i="1" s="1"/>
  <c r="AW69" i="1"/>
  <c r="AW22" i="1"/>
  <c r="L21" i="1"/>
  <c r="AW33" i="1"/>
  <c r="AW26" i="1"/>
  <c r="AU36" i="1"/>
  <c r="N36" i="1" s="1"/>
  <c r="AO28" i="1"/>
  <c r="AU41" i="1"/>
  <c r="L24" i="1"/>
  <c r="M24" i="1" s="1"/>
  <c r="AO23" i="1"/>
  <c r="AW43" i="1"/>
  <c r="AT22" i="1"/>
  <c r="BA52" i="1"/>
  <c r="BC52" i="1" s="1"/>
  <c r="N52" i="1" s="1"/>
  <c r="AW49" i="1"/>
  <c r="AT36" i="1"/>
  <c r="BA29" i="1"/>
  <c r="BC29" i="1" s="1"/>
  <c r="N29" i="1" s="1"/>
  <c r="L55" i="1"/>
  <c r="M55" i="1" s="1"/>
  <c r="Q55" i="1" s="1"/>
  <c r="P55" i="1" s="1"/>
  <c r="AT41" i="1"/>
  <c r="AU25" i="1"/>
  <c r="N25" i="1" s="1"/>
  <c r="AU68" i="1"/>
  <c r="N68" i="1" s="1"/>
  <c r="AO66" i="1"/>
  <c r="Q46" i="1"/>
  <c r="P46" i="1" s="1"/>
  <c r="BA53" i="1"/>
  <c r="BC53" i="1" s="1"/>
  <c r="N53" i="1" s="1"/>
  <c r="AU19" i="1"/>
  <c r="BA47" i="1"/>
  <c r="BC47" i="1" s="1"/>
  <c r="BA43" i="1"/>
  <c r="BC43" i="1" s="1"/>
  <c r="BH43" i="1" s="1"/>
  <c r="BA54" i="1"/>
  <c r="BC54" i="1" s="1"/>
  <c r="M194" i="1"/>
  <c r="AT191" i="1"/>
  <c r="AU175" i="1"/>
  <c r="N175" i="1" s="1"/>
  <c r="AU173" i="1"/>
  <c r="N173" i="1" s="1"/>
  <c r="AW173" i="1"/>
  <c r="M191" i="1"/>
  <c r="AF191" i="1" s="1"/>
  <c r="U104" i="1"/>
  <c r="AO104" i="1"/>
  <c r="AO199" i="1"/>
  <c r="AO189" i="1"/>
  <c r="U189" i="1"/>
  <c r="M175" i="1"/>
  <c r="AU153" i="1"/>
  <c r="N153" i="1" s="1"/>
  <c r="AW153" i="1"/>
  <c r="AO196" i="1"/>
  <c r="U196" i="1"/>
  <c r="U174" i="1"/>
  <c r="AO174" i="1"/>
  <c r="U169" i="1"/>
  <c r="AO169" i="1"/>
  <c r="AW197" i="1"/>
  <c r="M189" i="1"/>
  <c r="Q189" i="1" s="1"/>
  <c r="P189" i="1" s="1"/>
  <c r="AT186" i="1"/>
  <c r="U200" i="1"/>
  <c r="AW199" i="1"/>
  <c r="AO191" i="1"/>
  <c r="M187" i="1"/>
  <c r="AF187" i="1" s="1"/>
  <c r="AU178" i="1"/>
  <c r="N178" i="1" s="1"/>
  <c r="AW178" i="1"/>
  <c r="AU184" i="1"/>
  <c r="N184" i="1" s="1"/>
  <c r="AW184" i="1"/>
  <c r="AF139" i="1"/>
  <c r="Q139" i="1"/>
  <c r="P139" i="1" s="1"/>
  <c r="AK139" i="1"/>
  <c r="AT198" i="1"/>
  <c r="M181" i="1"/>
  <c r="Q181" i="1" s="1"/>
  <c r="P181" i="1" s="1"/>
  <c r="U193" i="1"/>
  <c r="M184" i="1"/>
  <c r="AU163" i="1"/>
  <c r="N163" i="1" s="1"/>
  <c r="AW163" i="1"/>
  <c r="U179" i="1"/>
  <c r="AO179" i="1"/>
  <c r="U188" i="1"/>
  <c r="AO188" i="1"/>
  <c r="AU196" i="1"/>
  <c r="N196" i="1" s="1"/>
  <c r="AW196" i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AT160" i="1"/>
  <c r="AU140" i="1"/>
  <c r="N140" i="1" s="1"/>
  <c r="AW140" i="1"/>
  <c r="M115" i="1"/>
  <c r="AF115" i="1" s="1"/>
  <c r="AO168" i="1"/>
  <c r="U168" i="1"/>
  <c r="AO167" i="1"/>
  <c r="AU164" i="1"/>
  <c r="N164" i="1" s="1"/>
  <c r="AW164" i="1"/>
  <c r="M160" i="1"/>
  <c r="AF157" i="1"/>
  <c r="U157" i="1"/>
  <c r="AO155" i="1"/>
  <c r="U192" i="1"/>
  <c r="AO184" i="1"/>
  <c r="U181" i="1"/>
  <c r="AT179" i="1"/>
  <c r="AU177" i="1"/>
  <c r="N177" i="1" s="1"/>
  <c r="AW177" i="1"/>
  <c r="AF177" i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AT130" i="1"/>
  <c r="AO194" i="1"/>
  <c r="AO178" i="1"/>
  <c r="M170" i="1"/>
  <c r="M143" i="1"/>
  <c r="AO187" i="1"/>
  <c r="M158" i="1"/>
  <c r="AK158" i="1" s="1"/>
  <c r="AU138" i="1"/>
  <c r="N138" i="1" s="1"/>
  <c r="AW138" i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AU109" i="1"/>
  <c r="N109" i="1" s="1"/>
  <c r="AO175" i="1"/>
  <c r="AO163" i="1"/>
  <c r="M104" i="1"/>
  <c r="AO156" i="1"/>
  <c r="U144" i="1"/>
  <c r="AU124" i="1"/>
  <c r="N124" i="1" s="1"/>
  <c r="AW124" i="1"/>
  <c r="AU119" i="1"/>
  <c r="N119" i="1" s="1"/>
  <c r="AW119" i="1"/>
  <c r="M133" i="1"/>
  <c r="Q133" i="1" s="1"/>
  <c r="P133" i="1" s="1"/>
  <c r="U132" i="1"/>
  <c r="AU129" i="1"/>
  <c r="N129" i="1" s="1"/>
  <c r="AU128" i="1"/>
  <c r="N128" i="1" s="1"/>
  <c r="AW128" i="1"/>
  <c r="M124" i="1"/>
  <c r="Q124" i="1" s="1"/>
  <c r="P124" i="1" s="1"/>
  <c r="M119" i="1"/>
  <c r="AK119" i="1" s="1"/>
  <c r="AW120" i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AO99" i="1"/>
  <c r="AO126" i="1"/>
  <c r="AO120" i="1"/>
  <c r="AO118" i="1"/>
  <c r="AO112" i="1"/>
  <c r="U112" i="1"/>
  <c r="AO143" i="1"/>
  <c r="AO131" i="1"/>
  <c r="AU116" i="1"/>
  <c r="N116" i="1" s="1"/>
  <c r="AW116" i="1"/>
  <c r="AF116" i="1"/>
  <c r="AW98" i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AF47" i="1"/>
  <c r="Q47" i="1"/>
  <c r="P47" i="1" s="1"/>
  <c r="U19" i="1"/>
  <c r="AO19" i="1"/>
  <c r="AO81" i="1"/>
  <c r="AO100" i="1"/>
  <c r="AT97" i="1"/>
  <c r="AT70" i="1"/>
  <c r="AO109" i="1"/>
  <c r="AW100" i="1"/>
  <c r="U96" i="1"/>
  <c r="AO96" i="1"/>
  <c r="AW83" i="1"/>
  <c r="U101" i="1"/>
  <c r="AU92" i="1"/>
  <c r="N92" i="1" s="1"/>
  <c r="AW92" i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AW81" i="1"/>
  <c r="L39" i="1"/>
  <c r="AT39" i="1"/>
  <c r="AU48" i="1"/>
  <c r="AW48" i="1"/>
  <c r="AO97" i="1"/>
  <c r="U93" i="1"/>
  <c r="AW89" i="1"/>
  <c r="AO85" i="1"/>
  <c r="AO82" i="1"/>
  <c r="AT80" i="1"/>
  <c r="AT75" i="1"/>
  <c r="AO90" i="1"/>
  <c r="AU82" i="1"/>
  <c r="N82" i="1" s="1"/>
  <c r="AU77" i="1"/>
  <c r="N77" i="1" s="1"/>
  <c r="AW77" i="1"/>
  <c r="AO67" i="1"/>
  <c r="Q48" i="1"/>
  <c r="P48" i="1" s="1"/>
  <c r="AF48" i="1"/>
  <c r="Q45" i="1"/>
  <c r="P45" i="1" s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U60" i="1"/>
  <c r="AO60" i="1"/>
  <c r="AW44" i="1"/>
  <c r="AU44" i="1"/>
  <c r="AT52" i="1"/>
  <c r="L52" i="1"/>
  <c r="AU50" i="1"/>
  <c r="AW50" i="1"/>
  <c r="AO56" i="1"/>
  <c r="U56" i="1"/>
  <c r="M15" i="1"/>
  <c r="L31" i="1"/>
  <c r="AT31" i="1"/>
  <c r="AO63" i="1"/>
  <c r="Q42" i="1"/>
  <c r="P42" i="1" s="1"/>
  <c r="AF42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AW58" i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N49" i="1" s="1"/>
  <c r="M22" i="1"/>
  <c r="U40" i="1"/>
  <c r="AO40" i="1"/>
  <c r="M23" i="1"/>
  <c r="AO22" i="1"/>
  <c r="U22" i="1"/>
  <c r="U21" i="1"/>
  <c r="BA57" i="1"/>
  <c r="BC57" i="1" s="1"/>
  <c r="N57" i="1" s="1"/>
  <c r="AU45" i="1"/>
  <c r="AW45" i="1"/>
  <c r="M33" i="1"/>
  <c r="AU15" i="1"/>
  <c r="AW15" i="1"/>
  <c r="BD15" i="1" s="1"/>
  <c r="U20" i="1"/>
  <c r="AW46" i="1"/>
  <c r="AT44" i="1"/>
  <c r="AU54" i="1"/>
  <c r="AW54" i="1"/>
  <c r="U35" i="1"/>
  <c r="AO35" i="1"/>
  <c r="M19" i="1"/>
  <c r="Q19" i="1" s="1"/>
  <c r="P19" i="1" s="1"/>
  <c r="M44" i="1"/>
  <c r="M54" i="1"/>
  <c r="Q54" i="1" s="1"/>
  <c r="P54" i="1" s="1"/>
  <c r="M41" i="1"/>
  <c r="AO58" i="1"/>
  <c r="AF49" i="1"/>
  <c r="U45" i="1"/>
  <c r="AZ37" i="1"/>
  <c r="BA37" i="1" s="1"/>
  <c r="BC37" i="1" s="1"/>
  <c r="BH37" i="1" s="1"/>
  <c r="AF36" i="1"/>
  <c r="U36" i="1"/>
  <c r="AO20" i="1"/>
  <c r="AO17" i="1"/>
  <c r="U48" i="1"/>
  <c r="AU47" i="1"/>
  <c r="AW47" i="1"/>
  <c r="AT29" i="1"/>
  <c r="L29" i="1"/>
  <c r="AT17" i="1"/>
  <c r="L17" i="1"/>
  <c r="O17" i="1" s="1"/>
  <c r="M25" i="1"/>
  <c r="U43" i="1"/>
  <c r="AW53" i="1"/>
  <c r="L53" i="1"/>
  <c r="AO33" i="1"/>
  <c r="U18" i="1"/>
  <c r="AW27" i="1"/>
  <c r="L27" i="1"/>
  <c r="AO31" i="1"/>
  <c r="U51" i="1"/>
  <c r="AZ56" i="1"/>
  <c r="BA56" i="1" s="1"/>
  <c r="BC56" i="1" s="1"/>
  <c r="N56" i="1" s="1"/>
  <c r="AF43" i="1"/>
  <c r="AO54" i="1"/>
  <c r="U34" i="1"/>
  <c r="AO15" i="1"/>
  <c r="U32" i="1"/>
  <c r="U55" i="1"/>
  <c r="AW35" i="1"/>
  <c r="U16" i="1"/>
  <c r="AW40" i="1"/>
  <c r="AO25" i="1"/>
  <c r="M21" i="1" l="1"/>
  <c r="Q21" i="1" s="1"/>
  <c r="P21" i="1" s="1"/>
  <c r="O21" i="1"/>
  <c r="M16" i="1"/>
  <c r="Q16" i="1" s="1"/>
  <c r="P16" i="1" s="1"/>
  <c r="O16" i="1"/>
  <c r="BH54" i="1"/>
  <c r="BH42" i="1"/>
  <c r="BH56" i="1"/>
  <c r="BH55" i="1"/>
  <c r="BH40" i="1"/>
  <c r="BH52" i="1"/>
  <c r="BH57" i="1"/>
  <c r="BH46" i="1"/>
  <c r="BH29" i="1"/>
  <c r="BH49" i="1"/>
  <c r="BH35" i="1"/>
  <c r="BH47" i="1"/>
  <c r="BH50" i="1"/>
  <c r="BH41" i="1"/>
  <c r="BH30" i="1"/>
  <c r="BH53" i="1"/>
  <c r="Q86" i="1"/>
  <c r="P86" i="1" s="1"/>
  <c r="AF136" i="1"/>
  <c r="AF55" i="1"/>
  <c r="AK84" i="1"/>
  <c r="AK136" i="1"/>
  <c r="AF120" i="1"/>
  <c r="AK144" i="1"/>
  <c r="AK157" i="1"/>
  <c r="AF84" i="1"/>
  <c r="AF169" i="1"/>
  <c r="AF188" i="1"/>
  <c r="Q51" i="1"/>
  <c r="P51" i="1" s="1"/>
  <c r="AK86" i="1"/>
  <c r="AK120" i="1"/>
  <c r="AF144" i="1"/>
  <c r="AF150" i="1"/>
  <c r="AK188" i="1"/>
  <c r="AF111" i="1"/>
  <c r="AK156" i="1"/>
  <c r="Q197" i="1"/>
  <c r="P197" i="1" s="1"/>
  <c r="M68" i="1"/>
  <c r="AF30" i="1"/>
  <c r="AF34" i="1"/>
  <c r="AF149" i="1"/>
  <c r="AK195" i="1"/>
  <c r="AF35" i="1"/>
  <c r="Q195" i="1"/>
  <c r="P195" i="1" s="1"/>
  <c r="M148" i="1"/>
  <c r="Q148" i="1" s="1"/>
  <c r="P148" i="1" s="1"/>
  <c r="AK169" i="1"/>
  <c r="AK149" i="1"/>
  <c r="AK197" i="1"/>
  <c r="AK141" i="1"/>
  <c r="N55" i="1"/>
  <c r="AF40" i="1"/>
  <c r="AF192" i="1"/>
  <c r="AK190" i="1"/>
  <c r="AF141" i="1"/>
  <c r="AK192" i="1"/>
  <c r="AF190" i="1"/>
  <c r="N37" i="1"/>
  <c r="AF156" i="1"/>
  <c r="Q150" i="1"/>
  <c r="P150" i="1" s="1"/>
  <c r="AF21" i="1"/>
  <c r="AF18" i="1"/>
  <c r="AF108" i="1"/>
  <c r="AK108" i="1"/>
  <c r="AF82" i="1"/>
  <c r="AF114" i="1"/>
  <c r="AK82" i="1"/>
  <c r="AF196" i="1"/>
  <c r="Q196" i="1"/>
  <c r="P196" i="1" s="1"/>
  <c r="AK196" i="1"/>
  <c r="Q109" i="1"/>
  <c r="P109" i="1" s="1"/>
  <c r="AF109" i="1"/>
  <c r="AK109" i="1"/>
  <c r="AK173" i="1"/>
  <c r="M164" i="1"/>
  <c r="AK96" i="1"/>
  <c r="Q96" i="1"/>
  <c r="P96" i="1" s="1"/>
  <c r="AF180" i="1"/>
  <c r="M89" i="1"/>
  <c r="M81" i="1"/>
  <c r="AK10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Q165" i="1"/>
  <c r="P165" i="1" s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F58" i="1"/>
  <c r="AF101" i="1"/>
  <c r="AK65" i="1"/>
  <c r="Q199" i="1"/>
  <c r="P199" i="1" s="1"/>
  <c r="AK199" i="1"/>
  <c r="AF63" i="1"/>
  <c r="AF124" i="1"/>
  <c r="AF181" i="1"/>
  <c r="AK133" i="1"/>
  <c r="Q24" i="1"/>
  <c r="P24" i="1" s="1"/>
  <c r="AF24" i="1"/>
  <c r="N43" i="1"/>
  <c r="N41" i="1"/>
  <c r="Q37" i="1"/>
  <c r="P37" i="1" s="1"/>
  <c r="AF37" i="1"/>
  <c r="AF57" i="1"/>
  <c r="Q57" i="1"/>
  <c r="P57" i="1" s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Q66" i="1"/>
  <c r="P66" i="1" s="1"/>
  <c r="AF66" i="1"/>
  <c r="AK66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Q28" i="1"/>
  <c r="P28" i="1" s="1"/>
  <c r="AF28" i="1"/>
  <c r="M56" i="1"/>
  <c r="M77" i="1"/>
  <c r="M50" i="1"/>
  <c r="Q112" i="1"/>
  <c r="P112" i="1" s="1"/>
  <c r="AK112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Q26" i="1"/>
  <c r="P26" i="1" s="1"/>
  <c r="AF26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AK60" i="1"/>
  <c r="M79" i="1"/>
  <c r="AF19" i="1"/>
  <c r="AK63" i="1"/>
  <c r="Q95" i="1"/>
  <c r="P95" i="1" s="1"/>
  <c r="AF95" i="1"/>
  <c r="AK95" i="1"/>
  <c r="AF112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51" i="1"/>
  <c r="P151" i="1" s="1"/>
  <c r="AF151" i="1"/>
  <c r="Q187" i="1"/>
  <c r="P187" i="1" s="1"/>
  <c r="AK187" i="1"/>
  <c r="Q23" i="1"/>
  <c r="P23" i="1" s="1"/>
  <c r="AF23" i="1"/>
  <c r="Q32" i="1"/>
  <c r="P32" i="1" s="1"/>
  <c r="AF32" i="1"/>
  <c r="M31" i="1"/>
  <c r="AF60" i="1"/>
  <c r="M67" i="1"/>
  <c r="M88" i="1"/>
  <c r="Q58" i="1"/>
  <c r="P58" i="1" s="1"/>
  <c r="AK58" i="1"/>
  <c r="M122" i="1"/>
  <c r="M62" i="1"/>
  <c r="M142" i="1"/>
  <c r="AK184" i="1"/>
  <c r="Q184" i="1"/>
  <c r="P184" i="1" s="1"/>
  <c r="AF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Q73" i="1"/>
  <c r="P73" i="1" s="1"/>
  <c r="AK73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Q134" i="1"/>
  <c r="P134" i="1" s="1"/>
  <c r="AF134" i="1"/>
  <c r="Q61" i="1"/>
  <c r="P61" i="1" s="1"/>
  <c r="AK61" i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AK134" i="1"/>
  <c r="AF16" i="1" l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O14" i="1"/>
  <c r="K7" i="1" s="1"/>
  <c r="J7" i="1" s="1"/>
  <c r="I7" i="1" s="1"/>
  <c r="H7" i="1" s="1"/>
  <c r="AK3" i="2"/>
  <c r="Q14" i="1" l="1"/>
  <c r="H3" i="1"/>
  <c r="P14" i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P14" i="1" l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X20" i="1"/>
  <c r="AR18" i="1"/>
  <c r="AR17" i="1"/>
  <c r="AR21" i="1"/>
  <c r="AX21" i="1"/>
  <c r="AR16" i="1"/>
  <c r="AR15" i="1"/>
  <c r="AR20" i="1"/>
  <c r="AX15" i="1"/>
  <c r="BE15" i="1" s="1"/>
  <c r="AX16" i="1"/>
  <c r="AX17" i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N20" i="1"/>
  <c r="BE20" i="1"/>
  <c r="BH20" i="1" s="1"/>
  <c r="N21" i="1"/>
  <c r="BE21" i="1"/>
  <c r="BH21" i="1" s="1"/>
  <c r="N19" i="1"/>
  <c r="BE19" i="1"/>
  <c r="BH19" i="1" s="1"/>
  <c r="N18" i="1"/>
  <c r="BE18" i="1"/>
  <c r="BH18" i="1" s="1"/>
  <c r="N17" i="1"/>
  <c r="BE17" i="1"/>
  <c r="BH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BH14" i="1"/>
  <c r="Y14" i="1"/>
  <c r="Z14" i="1" s="1"/>
  <c r="J6" i="1" l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I18" i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A20" i="1" l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AJ26" i="1"/>
  <c r="AK26" i="1" s="1"/>
  <c r="T26" i="1"/>
  <c r="AN26" i="1" s="1"/>
  <c r="Z22" i="1"/>
  <c r="AC22" i="1" s="1"/>
  <c r="AM25" i="1" s="1"/>
  <c r="AQ25" i="1" s="1"/>
  <c r="AB22" i="1"/>
  <c r="V25" i="1" l="1"/>
  <c r="W25" i="1" s="1"/>
  <c r="T25" i="1"/>
  <c r="AN25" i="1" s="1"/>
  <c r="AJ25" i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AJ28" i="1"/>
  <c r="AK28" i="1" s="1"/>
  <c r="T28" i="1"/>
  <c r="AN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AJ30" i="1"/>
  <c r="AK30" i="1" s="1"/>
  <c r="T30" i="1"/>
  <c r="AN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AJ35" i="1"/>
  <c r="AK35" i="1" s="1"/>
  <c r="T35" i="1"/>
  <c r="AN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AJ38" i="1"/>
  <c r="AK38" i="1" s="1"/>
  <c r="T38" i="1"/>
  <c r="AN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AJ37" i="1"/>
  <c r="AK37" i="1" s="1"/>
  <c r="T37" i="1"/>
  <c r="AN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AJ40" i="1"/>
  <c r="AK40" i="1" s="1"/>
  <c r="T40" i="1"/>
  <c r="AN40" i="1" s="1"/>
  <c r="AA37" i="1"/>
  <c r="AD37" i="1" s="1"/>
  <c r="AE37" i="1" s="1"/>
  <c r="AG37" i="1" s="1"/>
  <c r="V39" i="1"/>
  <c r="T39" i="1"/>
  <c r="AN39" i="1" s="1"/>
  <c r="AJ39" i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/>
  <c r="AK46" i="1" s="1"/>
  <c r="AE43" i="1"/>
  <c r="AG43" i="1" s="1"/>
  <c r="V45" i="1"/>
  <c r="W45" i="1" s="1"/>
  <c r="T45" i="1"/>
  <c r="AN45" i="1" s="1"/>
  <c r="AJ45" i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AJ49" i="1"/>
  <c r="AK49" i="1" s="1"/>
  <c r="T49" i="1"/>
  <c r="AN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AJ48" i="1"/>
  <c r="AK48" i="1" s="1"/>
  <c r="T48" i="1"/>
  <c r="AN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AJ53" i="1"/>
  <c r="AK53" i="1" s="1"/>
  <c r="T53" i="1"/>
  <c r="AN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/>
  <c r="AK52" i="1" s="1"/>
  <c r="AA49" i="1"/>
  <c r="AD49" i="1" s="1"/>
  <c r="AE49" i="1" s="1"/>
  <c r="AG49" i="1" s="1"/>
  <c r="V51" i="1"/>
  <c r="T51" i="1"/>
  <c r="AN51" i="1" s="1"/>
  <c r="AJ51" i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AJ56" i="1"/>
  <c r="AK56" i="1" s="1"/>
  <c r="T56" i="1"/>
  <c r="AN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AJ55" i="1"/>
  <c r="AK55" i="1" s="1"/>
  <c r="T55" i="1"/>
  <c r="AN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V74" i="1"/>
  <c r="W74" i="1" s="1"/>
  <c r="T74" i="1"/>
  <c r="AN74" i="1" s="1"/>
  <c r="Y69" i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<sst xmlns="http://schemas.openxmlformats.org/spreadsheetml/2006/main" count="532" uniqueCount="221">
  <si>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</si>
  <si>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</si>
  <si>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</si>
  <si>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</si>
  <si>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</si>
  <si>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</si>
  <si>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</si>
  <si>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</si>
  <si>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</si>
  <si>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</si>
  <si>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</si>
  <si>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</si>
  <si>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</si>
  <si>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</si>
  <si>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</si>
  <si>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</si>
  <si>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</si>
  <si>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</si>
  <si>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</si>
  <si>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</si>
  <si>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</si>
  <si>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</si>
  <si>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</si>
  <si>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</si>
  <si>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</si>
  <si>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</si>
  <si>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</si>
  <si>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</si>
  <si>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</si>
  <si>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</si>
  <si>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</si>
  <si>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</si>
  <si>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</si>
  <si>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</si>
  <si>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</si>
  <si>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</si>
  <si>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</si>
  <si>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</si>
  <si>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</si>
  <si>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</si>
  <si>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</si>
  <si>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</si>
  <si>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</si>
  <si>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</si>
  <si>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</si>
  <si>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</si>
  <si>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</si>
  <si>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</si>
  <si>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</si>
  <si>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</si>
  <si>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</si>
  <si>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</si>
  <si>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</si>
  <si>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</si>
  <si>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</si>
  <si>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</si>
  <si>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</si>
  <si>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</si>
  <si>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</si>
  <si>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</si>
  <si>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</si>
  <si>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</si>
  <si>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</si>
  <si>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</si>
  <si>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</si>
  <si>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</si>
  <si>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</si>
  <si>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</si>
  <si>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</si>
  <si>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</si>
  <si>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</si>
  <si>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</si>
  <si>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</si>
  <si>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</si>
  <si>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</si>
  <si>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</si>
  <si>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</si>
  <si>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</si>
  <si>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</si>
  <si>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</si>
  <si>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</si>
  <si>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</si>
  <si>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</si>
  <si>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</si>
  <si>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</si>
  <si>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</si>
  <si>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</si>
  <si>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</si>
  <si>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</si>
  <si>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</si>
  <si>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</si>
  <si>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</si>
  <si>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</si>
  <si>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</si>
  <si>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</si>
  <si>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</si>
  <si>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</si>
  <si>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</si>
  <si>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</si>
  <si>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</si>
  <si>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</si>
  <si>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</si>
  <si>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</si>
  <si>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</si>
  <si>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</si>
  <si>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</si>
  <si>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</si>
  <si>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</si>
  <si>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</si>
  <si>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</si>
  <si>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</si>
  <si>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</si>
  <si>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</si>
  <si>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</si>
  <si>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</si>
  <si>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</si>
  <si>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</si>
  <si>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</si>
  <si>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</si>
  <si>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</si>
  <si>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</si>
  <si>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</si>
  <si>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</si>
  <si>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</si>
  <si>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</si>
  <si>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</si>
  <si>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</si>
  <si>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</si>
  <si>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</si>
  <si>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</si>
  <si>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</si>
  <si>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</si>
  <si>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</si>
  <si>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</si>
  <si>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</si>
  <si>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</si>
  <si>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</si>
  <si>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</si>
  <si>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</si>
  <si>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</si>
  <si>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</si>
  <si>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</si>
  <si>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</si>
  <si>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</si>
  <si>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</si>
  <si>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</si>
  <si>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</si>
  <si>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</si>
  <si>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</si>
  <si>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</si>
  <si>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</si>
  <si>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</si>
  <si>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</si>
  <si>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</si>
  <si>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</si>
  <si>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</si>
  <si>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</si>
  <si>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</si>
  <si>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</si>
  <si>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</si>
  <si>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</si>
  <si>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</si>
  <si>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</si>
  <si>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</si>
  <si>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</si>
  <si>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</si>
  <si>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</si>
  <si>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</si>
  <si>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</si>
  <si>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</si>
  <si>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</si>
  <si>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</si>
  <si>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</si>
  <si>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</si>
  <si>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</si>
  <si>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</si>
  <si>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</si>
  <si>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</si>
  <si>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</si>
  <si>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</si>
  <si>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</si>
  <si>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</si>
  <si>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</si>
  <si>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</si>
  <si>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</si>
  <si>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</si>
  <si>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</si>
  <si>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</si>
  <si>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</si>
  <si>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</si>
  <si>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</si>
  <si>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</si>
  <si>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</si>
  <si>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Teste090</t>
  </si>
  <si>
    <t>M4T1</t>
  </si>
  <si>
    <t>M4T2</t>
  </si>
  <si>
    <t>M4T3</t>
  </si>
  <si>
    <t>M4T4</t>
  </si>
  <si>
    <t>M4T5</t>
  </si>
  <si>
    <t>M4T6</t>
  </si>
  <si>
    <t>M4T7</t>
  </si>
  <si>
    <t>M4T8</t>
  </si>
  <si>
    <t>r</t>
  </si>
  <si>
    <t>\</t>
  </si>
  <si>
    <t>FATOR_DINAMICO</t>
  </si>
  <si>
    <t>VELOCIDADE_EFETIVA_REAL</t>
  </si>
  <si>
    <t>TEMPO_PERFURACAO_PECAS</t>
  </si>
  <si>
    <t>MOVIMENTO_EM_VAZIO</t>
  </si>
  <si>
    <t>TEMPO_REAL</t>
  </si>
  <si>
    <t>DATA: 10/04/2026</t>
  </si>
  <si>
    <t>CLIENTE: M4T1</t>
  </si>
  <si>
    <t>ORÇAMENTO: Teste090</t>
  </si>
  <si>
    <t>MÁQUINA: LASER</t>
  </si>
  <si>
    <t>TEMPO TOTAL</t>
  </si>
  <si>
    <t>PESO TOTAL (KG)</t>
  </si>
  <si>
    <t>VALOR TOTAL</t>
  </si>
  <si>
    <t>DADOS DA PEÇA E PRODUÇÃO</t>
  </si>
  <si>
    <t>TOTAL ESP. 0,9</t>
  </si>
  <si>
    <t>OBSERVAÇÕES
OBS SOBRE A PRODUÇÃO:</t>
  </si>
  <si>
    <t>TIPO DE TEMPO</t>
  </si>
  <si>
    <t>ESTUDO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</si>
</sst>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44546A"/>
      <name val="Calibri"/>
      <family val="2"/>
      <scheme val="minor"/>
    </font>
    <font>
      <b/>
      <sz val="10"/>
      <color rgb="FF373737"/>
      <name val="Calibri"/>
      <family val="2"/>
      <scheme val="minor"/>
    </font>
    <font>
      <b/>
      <i/>
      <u/>
      <sz val="8"/>
      <color theme="1"/>
      <name val="Cascadia Code"/>
      <family val="3"/>
    </font>
  </fonts>
  <fills count="2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medium">
        <color rgb="FF787878"/>
      </left>
      <right style="thin">
        <color rgb="FF969696"/>
      </right>
      <top style="medium">
        <color rgb="FF787878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 style="thin">
        <color rgb="FF969696"/>
      </bottom>
      <diagonal/>
    </border>
    <border>
      <left style="thin">
        <color rgb="FF969696"/>
      </left>
      <right style="medium">
        <color rgb="FF787878"/>
      </right>
      <top style="medium">
        <color rgb="FF787878"/>
      </top>
      <bottom style="thin">
        <color rgb="FF969696"/>
      </bottom>
      <diagonal/>
    </border>
    <border>
      <left style="medium">
        <color rgb="FF787878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medium">
        <color rgb="FF787878"/>
      </right>
      <top style="thin">
        <color rgb="FFD2D2D2"/>
      </top>
      <bottom style="thin">
        <color rgb="FFD2D2D2"/>
      </bottom>
      <diagonal/>
    </border>
    <border>
      <left style="medium">
        <color rgb="FF787878"/>
      </left>
      <right style="thin">
        <color rgb="FFD2D2D2"/>
      </right>
      <top style="thin">
        <color rgb="FFD2D2D2"/>
      </top>
      <bottom style="medium">
        <color rgb="FF787878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medium">
        <color rgb="FF787878"/>
      </bottom>
      <diagonal/>
    </border>
    <border>
      <left style="thin">
        <color rgb="FFD2D2D2"/>
      </left>
      <right style="medium">
        <color rgb="FF787878"/>
      </right>
      <top style="thin">
        <color rgb="FFD2D2D2"/>
      </top>
      <bottom style="medium">
        <color rgb="FF78787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00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31" fillId="0" borderId="0" xfId="0" applyFont="1" applyAlignment="1">
      <alignment horizontal="center" vertical="center"/>
    </xf>
    <xf numFmtId="0" fontId="33" fillId="22" borderId="40" xfId="0" applyFont="1" applyFill="1" applyBorder="1" applyAlignment="1">
      <alignment horizontal="center" vertical="center" wrapText="1"/>
    </xf>
    <xf numFmtId="7" fontId="31" fillId="0" borderId="0" xfId="0" applyNumberFormat="1" applyFont="1" applyAlignment="1">
      <alignment horizontal="center" vertical="center"/>
    </xf>
    <xf numFmtId="0" fontId="36" fillId="24" borderId="44" xfId="0" applyFont="1" applyFill="1" applyBorder="1" applyAlignment="1">
      <alignment horizontal="center" vertical="center" wrapText="1"/>
    </xf>
    <xf numFmtId="0" fontId="36" fillId="24" borderId="45" xfId="0" applyFont="1" applyFill="1" applyBorder="1" applyAlignment="1">
      <alignment horizontal="center" vertical="center" wrapText="1"/>
    </xf>
    <xf numFmtId="0" fontId="34" fillId="24" borderId="49" xfId="0" applyFont="1" applyFill="1" applyBorder="1" applyAlignment="1">
      <alignment horizontal="center" vertical="center"/>
    </xf>
    <xf numFmtId="0" fontId="34" fillId="24" borderId="50" xfId="0" applyFont="1" applyFill="1" applyBorder="1" applyAlignment="1">
      <alignment horizontal="center" vertical="center"/>
    </xf>
    <xf numFmtId="4" fontId="34" fillId="24" borderId="50" xfId="0" applyNumberFormat="1" applyFont="1" applyFill="1" applyBorder="1" applyAlignment="1">
      <alignment horizontal="center" vertical="center"/>
    </xf>
    <xf numFmtId="0" fontId="31" fillId="25" borderId="47" xfId="0" applyFont="1" applyFill="1" applyBorder="1" applyAlignment="1">
      <alignment horizontal="center" vertical="center"/>
    </xf>
    <xf numFmtId="0" fontId="31" fillId="25" borderId="43" xfId="0" applyFont="1" applyFill="1" applyBorder="1" applyAlignment="1">
      <alignment horizontal="center" vertical="center"/>
    </xf>
    <xf numFmtId="0" fontId="31" fillId="23" borderId="47" xfId="0" applyFont="1" applyFill="1" applyBorder="1" applyAlignment="1">
      <alignment horizontal="center" vertical="center"/>
    </xf>
    <xf numFmtId="0" fontId="31" fillId="23" borderId="43" xfId="0" applyFont="1" applyFill="1" applyBorder="1" applyAlignment="1">
      <alignment horizontal="center" vertical="center"/>
    </xf>
    <xf numFmtId="3" fontId="36" fillId="24" borderId="45" xfId="0" applyNumberFormat="1" applyFont="1" applyFill="1" applyBorder="1" applyAlignment="1">
      <alignment horizontal="center" vertical="center" wrapText="1"/>
    </xf>
    <xf numFmtId="3" fontId="31" fillId="25" borderId="43" xfId="0" applyNumberFormat="1" applyFont="1" applyFill="1" applyBorder="1" applyAlignment="1">
      <alignment horizontal="center" vertical="center"/>
    </xf>
    <xf numFmtId="3" fontId="31" fillId="23" borderId="43" xfId="0" applyNumberFormat="1" applyFont="1" applyFill="1" applyBorder="1" applyAlignment="1">
      <alignment horizontal="center" vertical="center"/>
    </xf>
    <xf numFmtId="3" fontId="34" fillId="24" borderId="50" xfId="0" applyNumberFormat="1" applyFont="1" applyFill="1" applyBorder="1" applyAlignment="1">
      <alignment horizontal="center" vertical="center"/>
    </xf>
    <xf numFmtId="3" fontId="31" fillId="0" borderId="0" xfId="0" applyNumberFormat="1" applyFont="1" applyAlignment="1">
      <alignment horizontal="center" vertical="center"/>
    </xf>
    <xf numFmtId="4" fontId="36" fillId="24" borderId="45" xfId="0" applyNumberFormat="1" applyFont="1" applyFill="1" applyBorder="1" applyAlignment="1">
      <alignment horizontal="center" vertical="center" wrapText="1"/>
    </xf>
    <xf numFmtId="4" fontId="31" fillId="25" borderId="43" xfId="0" applyNumberFormat="1" applyFont="1" applyFill="1" applyBorder="1" applyAlignment="1">
      <alignment horizontal="center" vertical="center"/>
    </xf>
    <xf numFmtId="4" fontId="31" fillId="23" borderId="43" xfId="0" applyNumberFormat="1" applyFont="1" applyFill="1" applyBorder="1" applyAlignment="1">
      <alignment horizontal="center" vertical="center"/>
    </xf>
    <xf numFmtId="4" fontId="31" fillId="0" borderId="0" xfId="0" applyNumberFormat="1" applyFont="1" applyAlignment="1">
      <alignment horizontal="center" vertical="center"/>
    </xf>
    <xf numFmtId="3" fontId="33" fillId="22" borderId="40" xfId="0" applyNumberFormat="1" applyFont="1" applyFill="1" applyBorder="1" applyAlignment="1">
      <alignment horizontal="center" vertical="center" wrapText="1"/>
    </xf>
    <xf numFmtId="4" fontId="33" fillId="22" borderId="40" xfId="0" applyNumberFormat="1" applyFont="1" applyFill="1" applyBorder="1" applyAlignment="1">
      <alignment horizontal="center" vertical="center" wrapText="1"/>
    </xf>
    <xf numFmtId="164" fontId="33" fillId="22" borderId="40" xfId="0" applyNumberFormat="1" applyFont="1" applyFill="1" applyBorder="1" applyAlignment="1">
      <alignment horizontal="center" vertical="center" wrapText="1"/>
    </xf>
    <xf numFmtId="164" fontId="36" fillId="24" borderId="45" xfId="0" applyNumberFormat="1" applyFont="1" applyFill="1" applyBorder="1" applyAlignment="1">
      <alignment horizontal="center" vertical="center" wrapText="1"/>
    </xf>
    <xf numFmtId="164" fontId="31" fillId="25" borderId="43" xfId="0" applyNumberFormat="1" applyFont="1" applyFill="1" applyBorder="1" applyAlignment="1">
      <alignment horizontal="center" vertical="center"/>
    </xf>
    <xf numFmtId="164" fontId="31" fillId="23" borderId="43" xfId="0" applyNumberFormat="1" applyFont="1" applyFill="1" applyBorder="1" applyAlignment="1">
      <alignment horizontal="center" vertical="center"/>
    </xf>
    <xf numFmtId="164" fontId="34" fillId="24" borderId="50" xfId="0" applyNumberFormat="1" applyFont="1" applyFill="1" applyBorder="1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164" fontId="36" fillId="24" borderId="46" xfId="0" applyNumberFormat="1" applyFont="1" applyFill="1" applyBorder="1" applyAlignment="1">
      <alignment horizontal="center" vertical="center" wrapText="1"/>
    </xf>
    <xf numFmtId="164" fontId="31" fillId="25" borderId="48" xfId="0" applyNumberFormat="1" applyFont="1" applyFill="1" applyBorder="1" applyAlignment="1">
      <alignment horizontal="center" vertical="center"/>
    </xf>
    <xf numFmtId="164" fontId="31" fillId="23" borderId="48" xfId="0" applyNumberFormat="1" applyFont="1" applyFill="1" applyBorder="1" applyAlignment="1">
      <alignment horizontal="center" vertical="center"/>
    </xf>
    <xf numFmtId="164" fontId="34" fillId="24" borderId="51" xfId="0" applyNumberFormat="1" applyFont="1" applyFill="1" applyBorder="1" applyAlignment="1">
      <alignment horizontal="center" vertical="center"/>
    </xf>
    <xf numFmtId="0" fontId="34" fillId="24" borderId="42" xfId="0" applyFont="1" applyFill="1" applyBorder="1" applyAlignment="1">
      <alignment horizontal="center" vertical="center"/>
    </xf>
    <xf numFmtId="0" fontId="34" fillId="24" borderId="42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52" xfId="0" applyFont="1" applyFill="1" applyBorder="1" applyAlignment="1">
      <alignment horizontal="center" vertical="center"/>
    </xf>
    <xf numFmtId="0" fontId="25" fillId="19" borderId="52" xfId="0" applyFont="1" applyFill="1" applyBorder="1" applyAlignment="1">
      <alignment horizontal="center" vertical="center" wrapText="1"/>
    </xf>
    <xf numFmtId="0" fontId="25" fillId="15" borderId="52" xfId="0" applyFont="1" applyFill="1" applyBorder="1" applyAlignment="1">
      <alignment horizontal="center" vertical="center"/>
    </xf>
    <xf numFmtId="0" fontId="25" fillId="20" borderId="52" xfId="0" applyFont="1" applyFill="1" applyBorder="1" applyAlignment="1">
      <alignment horizontal="center" vertical="center"/>
    </xf>
    <xf numFmtId="0" fontId="25" fillId="21" borderId="52" xfId="0" applyFont="1" applyFill="1" applyBorder="1" applyAlignment="1">
      <alignment horizontal="center" vertical="center"/>
    </xf>
    <xf numFmtId="0" fontId="15" fillId="0" borderId="52" xfId="0" applyFont="1" applyBorder="1"/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23" fillId="19" borderId="0" xfId="0" applyFont="1" applyFill="1" applyAlignment="1">
      <alignment horizontal="right" vertical="center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33" fillId="22" borderId="40" xfId="0" applyFont="1" applyFill="1" applyBorder="1" applyAlignment="1">
      <alignment horizontal="center" vertical="center" wrapText="1"/>
    </xf>
    <xf numFmtId="0" fontId="32" fillId="22" borderId="40" xfId="0" applyFont="1" applyFill="1" applyBorder="1" applyAlignment="1">
      <alignment horizontal="center" vertical="center" wrapText="1"/>
    </xf>
    <xf numFmtId="0" fontId="21" fillId="22" borderId="40" xfId="0" applyFont="1" applyFill="1" applyBorder="1" applyAlignment="1">
      <alignment horizontal="left" vertical="center" wrapText="1"/>
    </xf>
    <xf numFmtId="0" fontId="33" fillId="22" borderId="40" xfId="0" applyFont="1" applyFill="1" applyBorder="1" applyAlignment="1">
      <alignment horizontal="left" vertical="center" wrapText="1"/>
    </xf>
    <xf numFmtId="0" fontId="20" fillId="22" borderId="40" xfId="0" applyFont="1" applyFill="1" applyBorder="1" applyAlignment="1">
      <alignment horizontal="left" vertical="center"/>
    </xf>
    <xf numFmtId="0" fontId="31" fillId="26" borderId="42" xfId="0" applyFont="1" applyFill="1" applyBorder="1" applyAlignment="1">
      <alignment horizontal="left" vertical="top" wrapText="1"/>
    </xf>
    <xf numFmtId="0" fontId="35" fillId="23" borderId="41" xfId="0" applyFont="1" applyFill="1" applyBorder="1" applyAlignment="1">
      <alignment horizontal="center" vertical="center"/>
    </xf>
    <xf numFmtId="21" fontId="8" fillId="23" borderId="41" xfId="0" applyNumberFormat="1" applyFont="1" applyFill="1" applyBorder="1" applyAlignment="1">
      <alignment horizontal="center" vertical="center"/>
    </xf>
    <xf numFmtId="0" fontId="8" fillId="23" borderId="41" xfId="0" applyFont="1" applyFill="1" applyBorder="1" applyAlignment="1">
      <alignment horizontal="center" vertical="center"/>
    </xf>
    <xf numFmtId="171" fontId="8" fillId="23" borderId="41" xfId="0" applyNumberFormat="1" applyFont="1" applyFill="1" applyBorder="1" applyAlignment="1">
      <alignment horizontal="center" vertical="center"/>
    </xf>
    <xf numFmtId="164" fontId="8" fillId="23" borderId="41" xfId="0" applyNumberFormat="1" applyFont="1" applyFill="1" applyBorder="1" applyAlignment="1">
      <alignment horizontal="center" vertical="center"/>
    </xf>
    <xf numFmtId="0" fontId="37" fillId="27" borderId="5" xfId="0" applyFont="1" applyFill="1" applyBorder="1" applyAlignment="1"/>
    <xf numFmtId="0" fontId="16" fillId="0" borderId="53" xfId="0" applyFont="1" applyBorder="1" applyAlignment="1"/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Normal="100" workbookViewId="0">
      <selection activeCell="A14" sqref="A14:I21"/>
    </sheetView>
  </sheetViews>
  <sheetFormatPr defaultRowHeight="16.2" x14ac:dyDescent="0.35"/>
  <cols>
    <col min="1" max="1" width="7.88671875" style="82" bestFit="1" customWidth="1"/>
    <col min="2" max="2" width="9.10937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4.33203125" style="82" bestFit="1" customWidth="1"/>
    <col min="8" max="8" width="10.554687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68" t="s">
        <v>167</v>
      </c>
      <c r="G1" s="269"/>
      <c r="H1" s="270"/>
      <c r="M1" s="298" t="s">
        <v>219</v>
      </c>
      <c r="AZ1" s="1" t="s">
        <v>203</v>
      </c>
    </row>
    <row r="2" spans="1:60" ht="16.8" thickBot="1" x14ac:dyDescent="0.4">
      <c r="A2" s="84">
        <v>0.12</v>
      </c>
      <c r="B2" s="84">
        <v>0.02</v>
      </c>
      <c r="C2" s="84">
        <v>0.26</v>
      </c>
      <c r="D2" s="108">
        <v>10.5</v>
      </c>
      <c r="E2" s="111" t="s">
        <v>92</v>
      </c>
      <c r="F2" s="271" t="s">
        <v>168</v>
      </c>
      <c r="G2" s="272"/>
      <c r="H2" s="113">
        <f>SUM(M14:M200)</f>
        <v>0</v>
      </c>
      <c r="M2" s="299" t="s">
        <v>220</v>
      </c>
    </row>
    <row r="3" spans="1:60" ht="16.2" customHeight="1" thickBot="1" x14ac:dyDescent="0.4">
      <c r="F3" s="266" t="s">
        <v>169</v>
      </c>
      <c r="G3" s="267"/>
      <c r="H3" s="112">
        <f>SUM(Q14:Q19)</f>
        <v>0</v>
      </c>
    </row>
    <row r="4" spans="1:60" ht="16.2" customHeight="1" thickBot="1" x14ac:dyDescent="0.4">
      <c r="F4" s="271" t="s">
        <v>170</v>
      </c>
      <c r="G4" s="272"/>
      <c r="H4" s="114">
        <f>D2</f>
        <v>10.5</v>
      </c>
    </row>
    <row r="5" spans="1:60" ht="16.2" customHeight="1" thickBot="1" x14ac:dyDescent="0.4">
      <c r="A5" s="194"/>
      <c r="F5" s="273" t="s">
        <v>171</v>
      </c>
      <c r="G5" s="274"/>
      <c r="H5" s="115">
        <f>IFERROR(SUMPRODUCT((Q14:Q200&gt;0)*(AI14:AI200)*(Q14:Q200))/SUMPRODUCT((Q14:Q200&gt;0)*(Q14:Q200)),0)</f>
        <v>0</v>
      </c>
      <c r="I5" s="199"/>
      <c r="J5" s="199"/>
      <c r="K5" s="199"/>
      <c r="L5" s="199"/>
      <c r="M5" s="200"/>
    </row>
    <row r="6" spans="1:60" ht="16.2" customHeight="1" thickBot="1" x14ac:dyDescent="0.4">
      <c r="F6" s="271" t="s">
        <v>183</v>
      </c>
      <c r="G6" s="272"/>
      <c r="H6" s="196">
        <f>I6</f>
        <v>0</v>
      </c>
      <c r="I6" s="202">
        <f>J6/1440</f>
        <v>0</v>
      </c>
      <c r="J6" s="203">
        <f>IF(M2="ESTUDO",SUM(BH14:BH200),SUM(N14:N200))</f>
        <v>0</v>
      </c>
      <c r="K6" s="204"/>
      <c r="L6" s="199"/>
      <c r="M6" s="200"/>
    </row>
    <row r="7" spans="1:60" ht="16.2" customHeight="1" thickBot="1" x14ac:dyDescent="0.4">
      <c r="F7" s="266" t="s">
        <v>184</v>
      </c>
      <c r="G7" s="267"/>
      <c r="H7" s="195">
        <f>I7</f>
        <v>0</v>
      </c>
      <c r="I7" s="202">
        <f>J7/1440</f>
        <v>0</v>
      </c>
      <c r="J7" s="203">
        <f>K7+AUXILIAR!AK3</f>
        <v>0</v>
      </c>
      <c r="K7" s="203">
        <f>SUM(O14:O200)</f>
        <v>0</v>
      </c>
      <c r="L7" s="199"/>
      <c r="M7" s="200"/>
    </row>
    <row r="8" spans="1:60" ht="16.2" customHeight="1" x14ac:dyDescent="0.35">
      <c r="A8" s="263" t="s">
        <v>162</v>
      </c>
      <c r="B8" s="263"/>
      <c r="C8" s="263"/>
      <c r="D8" s="264" t="s">
        <v>163</v>
      </c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63"/>
      <c r="B9" s="263"/>
      <c r="C9" s="263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5" t="s">
        <v>165</v>
      </c>
      <c r="R9" s="265"/>
      <c r="S9" s="275">
        <v>46026</v>
      </c>
      <c r="T9" s="276"/>
      <c r="U9" s="109"/>
      <c r="V9" s="109"/>
      <c r="W9" s="109"/>
      <c r="X9" s="109"/>
    </row>
    <row r="10" spans="1:60" ht="16.2" customHeight="1" x14ac:dyDescent="0.35">
      <c r="A10" s="263"/>
      <c r="B10" s="263"/>
      <c r="C10" s="263"/>
      <c r="D10" s="277" t="s">
        <v>164</v>
      </c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65" t="s">
        <v>166</v>
      </c>
      <c r="R10" s="265"/>
      <c r="S10" s="276">
        <v>2807</v>
      </c>
      <c r="T10" s="276"/>
      <c r="U10" s="109"/>
      <c r="V10" s="109"/>
      <c r="W10" s="109"/>
      <c r="X10" s="109"/>
    </row>
    <row r="11" spans="1:60" s="83" customFormat="1" ht="13.8" customHeight="1" x14ac:dyDescent="0.3">
      <c r="A11" s="263"/>
      <c r="B11" s="263"/>
      <c r="C11" s="263"/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62" customFormat="1" ht="27" customHeight="1" x14ac:dyDescent="0.25">
      <c r="A13" s="257" t="s">
        <v>96</v>
      </c>
      <c r="B13" s="257" t="s">
        <v>97</v>
      </c>
      <c r="C13" s="257" t="s">
        <v>98</v>
      </c>
      <c r="D13" s="257" t="s">
        <v>99</v>
      </c>
      <c r="E13" s="257" t="s">
        <v>100</v>
      </c>
      <c r="F13" s="257" t="s">
        <v>101</v>
      </c>
      <c r="G13" s="257" t="s">
        <v>94</v>
      </c>
      <c r="H13" s="257" t="s">
        <v>102</v>
      </c>
      <c r="I13" s="257" t="s">
        <v>103</v>
      </c>
      <c r="J13" s="257" t="s">
        <v>104</v>
      </c>
      <c r="K13" s="257" t="s">
        <v>95</v>
      </c>
      <c r="L13" s="257" t="s">
        <v>110</v>
      </c>
      <c r="M13" s="257" t="s">
        <v>111</v>
      </c>
      <c r="N13" s="258" t="s">
        <v>185</v>
      </c>
      <c r="O13" s="258" t="s">
        <v>186</v>
      </c>
      <c r="P13" s="257" t="s">
        <v>116</v>
      </c>
      <c r="Q13" s="257" t="s">
        <v>117</v>
      </c>
      <c r="R13" s="257" t="s">
        <v>82</v>
      </c>
      <c r="S13" s="257" t="s">
        <v>112</v>
      </c>
      <c r="T13" s="257" t="s">
        <v>119</v>
      </c>
      <c r="U13" s="257" t="s">
        <v>120</v>
      </c>
      <c r="V13" s="257" t="s">
        <v>121</v>
      </c>
      <c r="W13" s="257" t="s">
        <v>83</v>
      </c>
      <c r="X13" s="257" t="s">
        <v>84</v>
      </c>
      <c r="Y13" s="257" t="s">
        <v>85</v>
      </c>
      <c r="Z13" s="257" t="s">
        <v>86</v>
      </c>
      <c r="AA13" s="257" t="s">
        <v>87</v>
      </c>
      <c r="AB13" s="257" t="s">
        <v>88</v>
      </c>
      <c r="AC13" s="257" t="s">
        <v>89</v>
      </c>
      <c r="AD13" s="257" t="s">
        <v>90</v>
      </c>
      <c r="AE13" s="257" t="s">
        <v>91</v>
      </c>
      <c r="AF13" s="257" t="s">
        <v>161</v>
      </c>
      <c r="AG13" s="259" t="s">
        <v>122</v>
      </c>
      <c r="AH13" s="257" t="s">
        <v>123</v>
      </c>
      <c r="AI13" s="257" t="s">
        <v>124</v>
      </c>
      <c r="AJ13" s="257" t="s">
        <v>125</v>
      </c>
      <c r="AK13" s="257" t="s">
        <v>126</v>
      </c>
      <c r="AL13" s="257" t="s">
        <v>127</v>
      </c>
      <c r="AM13" s="257" t="s">
        <v>93</v>
      </c>
      <c r="AN13" s="257" t="s">
        <v>128</v>
      </c>
      <c r="AO13" s="257" t="s">
        <v>71</v>
      </c>
      <c r="AP13" s="257" t="s">
        <v>72</v>
      </c>
      <c r="AQ13" s="257" t="s">
        <v>129</v>
      </c>
      <c r="AR13" s="260" t="s">
        <v>160</v>
      </c>
      <c r="AS13" s="260" t="s">
        <v>105</v>
      </c>
      <c r="AT13" s="260" t="s">
        <v>106</v>
      </c>
      <c r="AU13" s="260" t="s">
        <v>108</v>
      </c>
      <c r="AV13" s="260" t="s">
        <v>107</v>
      </c>
      <c r="AW13" s="260" t="s">
        <v>109</v>
      </c>
      <c r="AX13" s="260" t="s">
        <v>188</v>
      </c>
      <c r="AY13" s="260" t="s">
        <v>187</v>
      </c>
      <c r="AZ13" s="260" t="s">
        <v>189</v>
      </c>
      <c r="BA13" s="260" t="s">
        <v>190</v>
      </c>
      <c r="BB13" s="260" t="s">
        <v>191</v>
      </c>
      <c r="BC13" s="260" t="s">
        <v>192</v>
      </c>
      <c r="BD13" s="261" t="s">
        <v>204</v>
      </c>
      <c r="BE13" s="261" t="s">
        <v>205</v>
      </c>
      <c r="BF13" s="261" t="s">
        <v>206</v>
      </c>
      <c r="BG13" s="261" t="s">
        <v>207</v>
      </c>
      <c r="BH13" s="261" t="s">
        <v>208</v>
      </c>
    </row>
    <row r="14" spans="1:60" ht="16.2" customHeight="1" x14ac:dyDescent="0.35">
      <c r="A14" s="240"/>
      <c r="B14" s="240"/>
      <c r="C14" s="240"/>
      <c r="D14" s="240"/>
      <c r="E14" s="241"/>
      <c r="F14" s="241"/>
      <c r="G14" s="241"/>
      <c r="H14" s="242"/>
      <c r="I14" s="242"/>
      <c r="J14" s="240"/>
      <c r="K14" s="243">
        <v>1200</v>
      </c>
      <c r="L14" s="244" t="str">
        <f t="shared" ref="L14:L45" si="0">IFERROR((AS14*G14*7.85)/1000000,"")</f>
        <v/>
      </c>
      <c r="M14" s="245" t="str">
        <f t="shared" ref="M14:M45" si="1">IFERROR(L14*C14,"")</f>
        <v/>
      </c>
      <c r="N14" s="246">
        <f t="shared" ref="N14:N45" si="2">IFERROR((AU14/AX14)+BC14,0)</f>
        <v>0</v>
      </c>
      <c r="O14" s="246">
        <f>IF(L14="",0,IFERROR(IF($M$2="ESTUDO",BH14,N14)+INDEX(AUXILIAR!$AO$3:$AO$8,MATCH(L14,{0;2;5;10;20;50},1))*1440,IF(M14="ESTUDO",BH14,N14)))</f>
        <v>0</v>
      </c>
      <c r="P14" s="247">
        <f t="shared" ref="P14:P45" si="3">IFERROR(Q14/C14,0)</f>
        <v>0</v>
      </c>
      <c r="Q14" s="247">
        <f t="shared" ref="Q14:Q45" si="4">IFERROR($D$2 * ROUND(M14, 2), 0)</f>
        <v>0</v>
      </c>
      <c r="R14" s="248" t="s">
        <v>0</v>
      </c>
      <c r="S14" s="249">
        <f t="shared" ref="S14:S45" si="5">IF(A14="",0,$D$2)</f>
        <v>0</v>
      </c>
      <c r="T14" s="247">
        <f>((AM14/(1+AUXILIAR!$BJ$4))-((AM14/(1+AUXILIAR!$BJ$4))*AUXILIAR!$BK$4))-(((AM14/(1+AUXILIAR!$BJ$4))-((AM14/(1+AUXILIAR!$BJ$4))*AUXILIAR!$BK$4))*((AUXILIAR!$BL$4+AUXILIAR!$BM$4)))</f>
        <v>0</v>
      </c>
      <c r="U14" s="247">
        <f>((S14/(1+AUXILIAR!$BJ$7))-((S14/(1+AUXILIAR!$BJ$7))*AUXILIAR!$BK$7))-(((S14/(1+AUXILIAR!$BJ$7))-((S14/(1+AUXILIAR!$BJ$7))*AUXILIAR!$BK$7))*((AUXILIAR!$BL$7+AUXILIAR!$BM$7)))</f>
        <v>0</v>
      </c>
      <c r="V14" s="250">
        <f>AM14-(AM14/(1+AUXILIAR!$BJ$4))</f>
        <v>0</v>
      </c>
      <c r="W14" s="251">
        <f>(AM14-V14)*AUXILIAR!$BK$4</f>
        <v>0</v>
      </c>
      <c r="X14" s="251">
        <f>(AM14-V14-W14)*(AUXILIAR!$BL$4+AUXILIAR!$BM$4)</f>
        <v>0</v>
      </c>
      <c r="Y14" s="251">
        <f>X14-(X14/(1+AUXILIAR!$BJ$7))</f>
        <v>0</v>
      </c>
      <c r="Z14" s="251">
        <f>(S14-Y14)*AUXILIAR!$BK$7</f>
        <v>0</v>
      </c>
      <c r="AA14" s="251">
        <f>(S14-Y14-Z14)*(AUXILIAR!$BL$7+AUXILIAR!$BM$7)</f>
        <v>0</v>
      </c>
      <c r="AB14" s="252">
        <f t="shared" ref="AB14:AB45" si="6">V14-Y14</f>
        <v>0</v>
      </c>
      <c r="AC14" s="252">
        <f t="shared" ref="AC14:AC45" si="7">W14-Z14</f>
        <v>0</v>
      </c>
      <c r="AD14" s="252">
        <f t="shared" ref="AD14:AD45" si="8">X14-AA14</f>
        <v>0</v>
      </c>
      <c r="AE14" s="252">
        <f t="shared" ref="AE14:AE45" si="9">AB14+AC14+AD14</f>
        <v>0</v>
      </c>
      <c r="AF14" s="252">
        <f t="shared" ref="AF14:AF45" si="10">IFERROR(S14*M14,0)</f>
        <v>0</v>
      </c>
      <c r="AG14" s="251">
        <f t="shared" ref="AG14:AG45" si="11">IFERROR((S14-AM14+AE14-AO14-AP14-AQ14-AL14),0)</f>
        <v>-1</v>
      </c>
      <c r="AH14" s="247">
        <f t="shared" ref="AH14:AH45" si="12">IFERROR(AG14*M14,0)</f>
        <v>0</v>
      </c>
      <c r="AI14" s="253">
        <f t="shared" ref="AI14:AI45" si="13">IFERROR(AG14/S14,0)</f>
        <v>0</v>
      </c>
      <c r="AJ14" s="247">
        <f>IF(G14="",0,(AM14+AL14+AQ14+AP14+AO14+AN14))</f>
        <v>0</v>
      </c>
      <c r="AK14" s="247">
        <f t="shared" ref="AK14:AK45" si="14">IFERROR(AJ14*M14,0)</f>
        <v>0</v>
      </c>
      <c r="AL14" s="247">
        <f>AUXILIAR!$BM$12</f>
        <v>1</v>
      </c>
      <c r="AM14" s="247">
        <f>IF($E$2="XADREZ",
     IFERROR(VLOOKUP(G14,AUXILIAR!AB:AC,2,TRUE),0),
     IF(AC11="SIM", 0, IFERROR(VLOOKUP(G14,AUXILIAR!AB:AC,2,TRUE),0))
)</f>
        <v>0</v>
      </c>
      <c r="AN14" s="247">
        <f t="shared" ref="AN14:AN45" si="15">U14-T14</f>
        <v>0</v>
      </c>
      <c r="AO14" s="247">
        <f t="shared" ref="AO14:AO45" si="16">IFERROR(S14*$B$2,0)</f>
        <v>0</v>
      </c>
      <c r="AP14" s="247">
        <f t="shared" ref="AP14:AP45" si="17">IF(G14="",0,$C$2)</f>
        <v>0</v>
      </c>
      <c r="AQ14" s="247">
        <f>IFERROR(INDEX(AUXILIAR!$AG$3:$AG$28,MATCH(G14,AUXILIAR!$AH$3:$AH$28,1))*AM14,0)</f>
        <v>0</v>
      </c>
      <c r="AR14" s="254" t="str">
        <f>IF(R14="GUILHOTINA",IFERROR(VLOOKUP(G14,AUXILIAR!$Q:$S,3,FALSE),""),IF(R14="LASER",IFERROR(VLOOKUP(G14,AUXILIAR!$E:$I,3,FALSE),""),IF(R14="PLASMA",IFERROR(VLOOKUP(G14,AUXILIAR!$K:$O,3,FALSE),""),"")))</f>
        <v/>
      </c>
      <c r="AS14" s="255" t="str">
        <f t="shared" ref="AS14:AS45" si="18">IF(OR(D14="Q",D14="R"),(H14*I14),IF(D14="T",(H14*I14)/2,IF(D14="TP",((H14+I14)*J14)/2,IF(D14="C",PI()*((H14/2)^2),""))))</f>
        <v/>
      </c>
      <c r="AT14" s="255" t="str">
        <f t="shared" ref="AT14:AT45" si="19">IFERROR(AS14*C14,"")</f>
        <v/>
      </c>
      <c r="AU14" s="255" t="str">
        <f t="shared" ref="AU14:AU45" si="20">IFERROR(AV14*C14,"")</f>
        <v/>
      </c>
      <c r="AV14" s="255" t="str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255" t="str">
        <f t="shared" ref="AW14:AW45" si="22">IFERROR(AV14*C14,"")</f>
        <v/>
      </c>
      <c r="AX14" s="255">
        <f>IFERROR(
IF($R14="LASER",
   VLOOKUP($G14,AUXILIAR!$E$3:$G$27,3,FALSE),
IF($R14="PLASMA",
   VLOOKUP($G14,AUXILIAR!$K$6:$M$28,3,FALSE),
0)),
0)</f>
        <v>0</v>
      </c>
      <c r="AY14" s="255">
        <f t="shared" ref="AY14:AY45" si="23">IF(OR(E14=0,F14=0),0,PI()*F14*E14)</f>
        <v>0</v>
      </c>
      <c r="AZ14" s="255">
        <f t="shared" ref="AZ14:AZ45" si="24">IFERROR(
IF(OR(E14=0,F14=0),0,
   IF($R14="LASER",
      IF($F14&lt;=$G14*1.5,$AX14*0.7,$AX14),
   IF($R14="PLASMA",
      IF($F14&lt;=$G14*2,$AX14*0.5,$AX14),
   0))),
0)</f>
        <v>0</v>
      </c>
      <c r="BA14" s="256">
        <f t="shared" ref="BA14:BA45" si="25">IFERROR(IF($AY14=0,0,$AY14/$AZ14),0)</f>
        <v>0</v>
      </c>
      <c r="BB14" s="256">
        <f t="shared" ref="BB14:BB45" si="26">IF(OR(E14=0,F14=0),0,
 IF(F14&lt;=4.75,5/60,
 IF(F14&lt;=9.5,7/60,
 10/60)))</f>
        <v>0</v>
      </c>
      <c r="BC14" s="256">
        <f t="shared" ref="BC14:BC45" si="27">IF(OR(E14=0,F14=0),0,$BA14+($BB14*$E14))</f>
        <v>0</v>
      </c>
      <c r="BD14" s="256">
        <f t="shared" ref="BD14:BD21" si="28">IF(OR(AW14="",ISBLANK(AW14)),0,IF(AV14&lt;=400,0.35,IF(AV14&lt;=800,0.45,IF(AV14&lt;=1500,0.6,IF(AV14&lt;=3000,0.75,0.85)))))</f>
        <v>0</v>
      </c>
      <c r="BE14" s="255">
        <f>AX14*BD14</f>
        <v>0</v>
      </c>
      <c r="BF14" s="246">
        <f>(
1+E14
)*
IF(G14&lt;=1.5,0.6/60,
IF(G14&lt;=3,0.9/60,
IF(G14&lt;=6.35,1.5/60,
IF(G14&lt;=9.53,2.2/60,
IF(G14&lt;=12.7,3/60,4/60)))))</f>
        <v>0.01</v>
      </c>
      <c r="BG14" s="246">
        <f>IF(AV14&lt;=800,0.8/60,IF(AV14&lt;=2000,1.2/60,2/60))</f>
        <v>3.3333333333333333E-2</v>
      </c>
      <c r="BH14" s="256">
        <f>IFERROR((AU14/BE14)+BF14+BG14+BC14,0)</f>
        <v>0</v>
      </c>
    </row>
    <row r="15" spans="1:60" x14ac:dyDescent="0.35">
      <c r="A15" s="85"/>
      <c r="B15" s="85"/>
      <c r="C15" s="85"/>
      <c r="D15" s="85"/>
      <c r="E15" s="86"/>
      <c r="F15" s="86"/>
      <c r="G15" s="241"/>
      <c r="H15" s="87"/>
      <c r="I15" s="87"/>
      <c r="J15" s="85"/>
      <c r="K15" s="99">
        <v>1200</v>
      </c>
      <c r="L15" s="90" t="str">
        <f t="shared" si="0"/>
        <v/>
      </c>
      <c r="M15" s="198" t="str">
        <f t="shared" si="1"/>
        <v/>
      </c>
      <c r="N15" s="91">
        <f t="shared" si="2"/>
        <v>0</v>
      </c>
      <c r="O15" s="246">
        <f>IF(L15="",0,IFERROR(IF($M$2="ESTUDO",BH15,N15)+INDEX(AUXILIAR!$AO$3:$AO$8,MATCH(L15,{0;2;5;10;20;50},1))*1440,IF(M15="ESTUDO",BH15,N15)))</f>
        <v>0</v>
      </c>
      <c r="P15" s="100">
        <f t="shared" si="3"/>
        <v>0</v>
      </c>
      <c r="Q15" s="100">
        <f t="shared" si="4"/>
        <v>0</v>
      </c>
      <c r="R15" s="92" t="s">
        <v>0</v>
      </c>
      <c r="S15" s="88">
        <f t="shared" si="5"/>
        <v>0</v>
      </c>
      <c r="T15" s="100">
        <f>((AM15/(1+AUXILIAR!$BJ$4))-((AM15/(1+AUXILIAR!$BJ$4))*AUXILIAR!$BK$4))-(((AM15/(1+AUXILIAR!$BJ$4))-((AM15/(1+AUXILIAR!$BJ$4))*AUXILIAR!$BK$4))*((AUXILIAR!$BL$4+AUXILIAR!$BM$4)))</f>
        <v>0</v>
      </c>
      <c r="U15" s="100">
        <f>((S15/(1+AUXILIAR!$BJ$7))-((S15/(1+AUXILIAR!$BJ$7))*AUXILIAR!$BK$7))-(((S15/(1+AUXILIAR!$BJ$7))-((S15/(1+AUXILIAR!$BJ$7))*AUXILIAR!$BK$7))*((AUXILIAR!$BL$7+AUXILIAR!$BM$7)))</f>
        <v>0</v>
      </c>
      <c r="V15" s="101">
        <f>AM15-(AM15/(1+AUXILIAR!$BJ$4))</f>
        <v>0</v>
      </c>
      <c r="W15" s="102">
        <f>(AM15-V15)*AUXILIAR!$BK$4</f>
        <v>0</v>
      </c>
      <c r="X15" s="102">
        <f>(AM15-V15-W15)*(AUXILIAR!$BL$4+AUXILIAR!$BM$4)</f>
        <v>0</v>
      </c>
      <c r="Y15" s="102">
        <f>X15-(X15/(1+AUXILIAR!$BJ$7))</f>
        <v>0</v>
      </c>
      <c r="Z15" s="102">
        <f>(S15-Y15)*AUXILIAR!$BK$7</f>
        <v>0</v>
      </c>
      <c r="AA15" s="102">
        <f>(S15-Y15-Z15)*(AUXILIAR!$BL$7+AUXILIAR!$BM$7)</f>
        <v>0</v>
      </c>
      <c r="AB15" s="103">
        <f t="shared" si="6"/>
        <v>0</v>
      </c>
      <c r="AC15" s="103">
        <f t="shared" si="7"/>
        <v>0</v>
      </c>
      <c r="AD15" s="103">
        <f t="shared" si="8"/>
        <v>0</v>
      </c>
      <c r="AE15" s="103">
        <f t="shared" si="9"/>
        <v>0</v>
      </c>
      <c r="AF15" s="103">
        <f t="shared" si="10"/>
        <v>0</v>
      </c>
      <c r="AG15" s="102">
        <f t="shared" si="11"/>
        <v>-1</v>
      </c>
      <c r="AH15" s="100">
        <f t="shared" si="12"/>
        <v>0</v>
      </c>
      <c r="AI15" s="104">
        <f t="shared" si="13"/>
        <v>0</v>
      </c>
      <c r="AJ15" s="100">
        <f t="shared" ref="AJ15:AJ45" si="29">IF(G15="",0,(AM15+AL15+AQ15+AP15+AO15+AN15))</f>
        <v>0</v>
      </c>
      <c r="AK15" s="100">
        <f t="shared" si="14"/>
        <v>0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0</v>
      </c>
      <c r="AN15" s="100">
        <f t="shared" si="15"/>
        <v>0</v>
      </c>
      <c r="AO15" s="100">
        <f t="shared" si="16"/>
        <v>0</v>
      </c>
      <c r="AP15" s="100">
        <f t="shared" si="17"/>
        <v>0</v>
      </c>
      <c r="AQ15" s="247">
        <f>IFERROR(INDEX(AUXILIAR!$AG$3:$AG$28,MATCH(G15,AUXILIAR!$AH$3:$AH$28,1))*AM15,0)</f>
        <v>0</v>
      </c>
      <c r="AR15" s="105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8"/>
        <v/>
      </c>
      <c r="AT15" s="89" t="str">
        <f t="shared" si="19"/>
        <v/>
      </c>
      <c r="AU15" s="89" t="str">
        <f t="shared" si="20"/>
        <v/>
      </c>
      <c r="AV15" s="89" t="str">
        <f t="shared" si="21"/>
        <v/>
      </c>
      <c r="AW15" s="89" t="str">
        <f t="shared" si="22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</v>
      </c>
      <c r="BE15" s="89">
        <f t="shared" ref="BE15:BE78" si="30">AX15*BD15</f>
        <v>0</v>
      </c>
      <c r="BF15" s="91">
        <f t="shared" ref="BF15:BF78" si="31">(
1+E15
)*
IF(G15&lt;=1.5,0.6/60,
IF(G15&lt;=3,0.9/60,
IF(G15&lt;=6.35,1.5/60,
IF(G15&lt;=9.53,2.2/60,
IF(G15&lt;=12.7,3/60,4/60)))))</f>
        <v>0.01</v>
      </c>
      <c r="BG15" s="91">
        <f t="shared" ref="BG15:BG78" si="32">IF(AV15&lt;=800,0.8/60,IF(AV15&lt;=2000,1.2/60,2/60))</f>
        <v>3.3333333333333333E-2</v>
      </c>
      <c r="BH15" s="201">
        <f t="shared" ref="BH15:BH78" si="33">IFERROR((AU15/BE15)+BF15+BG15+BC15,0)</f>
        <v>0</v>
      </c>
    </row>
    <row r="16" spans="1:60" x14ac:dyDescent="0.35">
      <c r="A16" s="85"/>
      <c r="B16" s="85"/>
      <c r="C16" s="85"/>
      <c r="D16" s="85"/>
      <c r="E16" s="86"/>
      <c r="F16" s="86"/>
      <c r="G16" s="241"/>
      <c r="H16" s="87"/>
      <c r="I16" s="87"/>
      <c r="J16" s="85"/>
      <c r="K16" s="99">
        <v>1200</v>
      </c>
      <c r="L16" s="90" t="str">
        <f t="shared" si="0"/>
        <v/>
      </c>
      <c r="M16" s="198" t="str">
        <f t="shared" si="1"/>
        <v/>
      </c>
      <c r="N16" s="91">
        <f t="shared" si="2"/>
        <v>0</v>
      </c>
      <c r="O16" s="246">
        <f>IF(L16="",0,IFERROR(IF($M$2="ESTUDO",BH16,N16)+INDEX(AUXILIAR!$AO$3:$AO$8,MATCH(L16,{0;2;5;10;20;50},1))*1440,IF(M16="ESTUDO",BH16,N16)))</f>
        <v>0</v>
      </c>
      <c r="P16" s="100">
        <f t="shared" si="3"/>
        <v>0</v>
      </c>
      <c r="Q16" s="100">
        <f t="shared" si="4"/>
        <v>0</v>
      </c>
      <c r="R16" s="92" t="s">
        <v>0</v>
      </c>
      <c r="S16" s="88">
        <f t="shared" si="5"/>
        <v>0</v>
      </c>
      <c r="T16" s="100">
        <f>((AM16/(1+AUXILIAR!$BJ$4))-((AM16/(1+AUXILIAR!$BJ$4))*AUXILIAR!$BK$4))-(((AM16/(1+AUXILIAR!$BJ$4))-((AM16/(1+AUXILIAR!$BJ$4))*AUXILIAR!$BK$4))*((AUXILIAR!$BL$4+AUXILIAR!$BM$4)))</f>
        <v>0</v>
      </c>
      <c r="U16" s="100">
        <f>((S16/(1+AUXILIAR!$BJ$7))-((S16/(1+AUXILIAR!$BJ$7))*AUXILIAR!$BK$7))-(((S16/(1+AUXILIAR!$BJ$7))-((S16/(1+AUXILIAR!$BJ$7))*AUXILIAR!$BK$7))*((AUXILIAR!$BL$7+AUXILIAR!$BM$7)))</f>
        <v>0</v>
      </c>
      <c r="V16" s="101">
        <f>AM16-(AM16/(1+AUXILIAR!$BJ$4))</f>
        <v>0</v>
      </c>
      <c r="W16" s="102">
        <f>(AM16-V16)*AUXILIAR!$BK$4</f>
        <v>0</v>
      </c>
      <c r="X16" s="102">
        <f>(AM16-V16-W16)*(AUXILIAR!$BL$4+AUXILIAR!$BM$4)</f>
        <v>0</v>
      </c>
      <c r="Y16" s="102">
        <f>X16-(X16/(1+AUXILIAR!$BJ$7))</f>
        <v>0</v>
      </c>
      <c r="Z16" s="102">
        <f>(S16-Y16)*AUXILIAR!$BK$7</f>
        <v>0</v>
      </c>
      <c r="AA16" s="102">
        <f>(S16-Y16-Z16)*(AUXILIAR!$BL$7+AUXILIAR!$BM$7)</f>
        <v>0</v>
      </c>
      <c r="AB16" s="103">
        <f t="shared" si="6"/>
        <v>0</v>
      </c>
      <c r="AC16" s="103">
        <f t="shared" si="7"/>
        <v>0</v>
      </c>
      <c r="AD16" s="103">
        <f t="shared" si="8"/>
        <v>0</v>
      </c>
      <c r="AE16" s="103">
        <f t="shared" si="9"/>
        <v>0</v>
      </c>
      <c r="AF16" s="103">
        <f t="shared" si="10"/>
        <v>0</v>
      </c>
      <c r="AG16" s="102">
        <f t="shared" si="11"/>
        <v>-1</v>
      </c>
      <c r="AH16" s="100">
        <f t="shared" si="12"/>
        <v>0</v>
      </c>
      <c r="AI16" s="104">
        <f t="shared" si="13"/>
        <v>0</v>
      </c>
      <c r="AJ16" s="100">
        <f t="shared" si="29"/>
        <v>0</v>
      </c>
      <c r="AK16" s="100">
        <f t="shared" si="14"/>
        <v>0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0</v>
      </c>
      <c r="AN16" s="100">
        <f t="shared" si="15"/>
        <v>0</v>
      </c>
      <c r="AO16" s="100">
        <f t="shared" si="16"/>
        <v>0</v>
      </c>
      <c r="AP16" s="100">
        <f t="shared" si="17"/>
        <v>0</v>
      </c>
      <c r="AQ16" s="247">
        <f>IFERROR(INDEX(AUXILIAR!$AG$3:$AG$28,MATCH(G16,AUXILIAR!$AH$3:$AH$28,1))*AM16,0)</f>
        <v>0</v>
      </c>
      <c r="AR16" s="105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8"/>
        <v/>
      </c>
      <c r="AT16" s="89" t="str">
        <f t="shared" si="19"/>
        <v/>
      </c>
      <c r="AU16" s="89" t="str">
        <f t="shared" si="20"/>
        <v/>
      </c>
      <c r="AV16" s="89" t="str">
        <f t="shared" si="21"/>
        <v/>
      </c>
      <c r="AW16" s="89" t="str">
        <f t="shared" si="22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</v>
      </c>
      <c r="BE16" s="89">
        <f t="shared" si="30"/>
        <v>0</v>
      </c>
      <c r="BF16" s="91">
        <f t="shared" si="31"/>
        <v>0.01</v>
      </c>
      <c r="BG16" s="91">
        <f t="shared" si="32"/>
        <v>3.3333333333333333E-2</v>
      </c>
      <c r="BH16" s="201">
        <f t="shared" si="33"/>
        <v>0</v>
      </c>
    </row>
    <row r="17" spans="1:60" x14ac:dyDescent="0.35">
      <c r="A17" s="85"/>
      <c r="B17" s="85"/>
      <c r="C17" s="85"/>
      <c r="D17" s="85"/>
      <c r="E17" s="86"/>
      <c r="F17" s="86"/>
      <c r="G17" s="241"/>
      <c r="H17" s="87"/>
      <c r="I17" s="8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46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47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85"/>
      <c r="B18" s="85"/>
      <c r="C18" s="85"/>
      <c r="D18" s="85"/>
      <c r="E18" s="86"/>
      <c r="F18" s="86"/>
      <c r="G18" s="241"/>
      <c r="H18" s="87"/>
      <c r="I18" s="8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46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47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85"/>
      <c r="B19" s="85"/>
      <c r="C19" s="85"/>
      <c r="D19" s="85"/>
      <c r="E19" s="86"/>
      <c r="F19" s="86"/>
      <c r="G19" s="241"/>
      <c r="H19" s="87"/>
      <c r="I19" s="8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46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47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41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46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47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41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46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47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46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47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46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47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46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47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46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47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46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47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46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47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46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47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46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47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46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47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46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47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46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47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46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47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46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47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46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47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46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47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46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47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46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47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46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47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46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47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46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47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46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47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46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47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46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47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46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47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46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47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46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47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46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47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46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47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46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47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46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47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46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47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46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47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46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47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46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47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46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47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46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47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46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47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46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47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46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47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46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47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46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47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46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47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46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47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46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47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46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47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46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47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46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47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46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47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46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47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46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47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46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47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46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47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46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47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46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47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46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47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46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47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46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47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46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47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46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47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46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47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46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47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46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47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46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47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46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47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46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47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46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47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46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47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46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47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46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47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46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47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46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47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46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47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46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47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46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47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46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47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46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47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46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47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46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47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46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47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46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47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46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47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46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47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46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47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46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47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46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47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46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47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46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47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46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47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46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47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46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47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46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47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46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47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46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47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46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47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46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47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46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47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46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47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46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47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46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47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46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47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46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47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46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47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46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47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46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47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46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47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46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47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46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47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46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47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46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47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46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47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46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47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46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47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46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47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46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47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46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47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46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47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46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47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46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47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46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47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46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47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46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47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46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47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46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47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46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47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46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47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46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47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46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47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46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47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46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47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46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47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46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47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46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47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46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47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46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47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46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47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46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47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46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47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46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47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46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47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46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47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46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47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46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47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46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47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46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47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46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47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46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47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46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47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46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47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46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47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46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47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46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47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46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47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46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47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46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47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46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47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46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47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46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47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46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47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46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47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46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47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46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47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46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47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46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47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46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47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46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47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46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47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46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47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46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47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46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47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46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47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46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47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46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47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46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47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46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47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46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47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46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47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46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47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46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47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46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47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78" t="s">
        <v>172</v>
      </c>
      <c r="AJ1" s="279"/>
      <c r="AK1" s="280"/>
      <c r="AM1" s="278" t="s">
        <v>172</v>
      </c>
      <c r="AN1" s="279"/>
      <c r="AO1" s="280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81" t="s">
        <v>176</v>
      </c>
      <c r="AN2" s="282"/>
      <c r="AO2" s="283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topLeftCell="A10" workbookViewId="0">
      <selection activeCell="B32" sqref="B32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84" t="s">
        <v>56</v>
      </c>
      <c r="C2" s="285"/>
      <c r="D2" s="285"/>
      <c r="E2" s="285"/>
      <c r="F2" s="285"/>
      <c r="G2" s="286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H21"/>
  <sheetViews>
    <sheetView workbookViewId="0">
      <pane ySplit="8" topLeftCell="A9" activePane="bottomLeft" state="frozen"/>
      <selection pane="bottomLeft" activeCell="A9" sqref="A9"/>
    </sheetView>
  </sheetViews>
  <sheetFormatPr defaultRowHeight="13.8" x14ac:dyDescent="0.3"/>
  <cols>
    <col min="1" max="1" width="12.77734375" style="205" customWidth="1"/>
    <col min="2" max="2" width="14.77734375" style="205" customWidth="1"/>
    <col min="3" max="3" width="9.77734375" style="221" customWidth="1"/>
    <col min="4" max="4" width="11.77734375" style="205" customWidth="1"/>
    <col min="5" max="5" width="9.77734375" style="205" customWidth="1"/>
    <col min="6" max="6" width="10.77734375" style="205" customWidth="1"/>
    <col min="7" max="7" width="8.77734375" style="225" customWidth="1"/>
    <col min="8" max="10" width="8.77734375" style="221" customWidth="1"/>
    <col min="11" max="11" width="10.77734375" style="221" customWidth="1"/>
    <col min="12" max="12" width="8.77734375" style="225" customWidth="1"/>
    <col min="13" max="13" width="10.77734375" style="225" customWidth="1"/>
    <col min="14" max="14" width="14.77734375" style="225" customWidth="1"/>
    <col min="15" max="15" width="10.77734375" style="233" customWidth="1"/>
    <col min="16" max="16" width="12.77734375" style="233" customWidth="1"/>
    <col min="17" max="17" width="10.77734375" style="205" customWidth="1"/>
    <col min="18" max="18" width="9.77734375" style="233" customWidth="1"/>
    <col min="19" max="60" width="0" style="205" hidden="1" customWidth="1"/>
    <col min="61" max="16384" width="8.88671875" style="205"/>
  </cols>
  <sheetData>
    <row r="1" spans="1:60" ht="24" customHeight="1" x14ac:dyDescent="0.3">
      <c r="A1" s="288" t="s">
        <v>162</v>
      </c>
      <c r="B1" s="288"/>
      <c r="C1" s="289" t="s">
        <v>163</v>
      </c>
      <c r="D1" s="289"/>
      <c r="E1" s="289"/>
      <c r="F1" s="289"/>
      <c r="G1" s="289"/>
      <c r="H1" s="289"/>
      <c r="I1" s="289"/>
      <c r="J1" s="289"/>
      <c r="K1" s="287" t="s">
        <v>209</v>
      </c>
      <c r="L1" s="287"/>
      <c r="M1" s="287"/>
      <c r="N1" s="287" t="s">
        <v>211</v>
      </c>
      <c r="O1" s="287"/>
      <c r="P1" s="287"/>
      <c r="Q1" s="287"/>
      <c r="R1" s="287"/>
    </row>
    <row r="2" spans="1:60" ht="24" customHeight="1" x14ac:dyDescent="0.3">
      <c r="A2" s="288"/>
      <c r="B2" s="288"/>
      <c r="C2" s="289"/>
      <c r="D2" s="289"/>
      <c r="E2" s="289"/>
      <c r="F2" s="289"/>
      <c r="G2" s="289"/>
      <c r="H2" s="289"/>
      <c r="I2" s="289"/>
      <c r="J2" s="289"/>
      <c r="K2" s="287" t="s">
        <v>210</v>
      </c>
      <c r="L2" s="287"/>
      <c r="M2" s="287"/>
      <c r="N2" s="287" t="s">
        <v>212</v>
      </c>
      <c r="O2" s="287"/>
      <c r="P2" s="287"/>
      <c r="Q2" s="287"/>
      <c r="R2" s="287"/>
    </row>
    <row r="3" spans="1:60" ht="24" customHeight="1" x14ac:dyDescent="0.3">
      <c r="A3" s="288"/>
      <c r="B3" s="288"/>
      <c r="C3" s="290" t="s">
        <v>164</v>
      </c>
      <c r="D3" s="290"/>
      <c r="E3" s="290"/>
      <c r="F3" s="290"/>
      <c r="G3" s="290"/>
      <c r="H3" s="290"/>
      <c r="I3" s="290"/>
      <c r="J3" s="290"/>
      <c r="K3" s="226"/>
      <c r="L3" s="227"/>
      <c r="M3" s="227"/>
      <c r="N3" s="227"/>
      <c r="O3" s="228"/>
      <c r="P3" s="228"/>
      <c r="Q3" s="206"/>
      <c r="R3" s="228"/>
    </row>
    <row r="4" spans="1:60" ht="24" customHeight="1" x14ac:dyDescent="0.3">
      <c r="A4" s="293" t="s">
        <v>213</v>
      </c>
      <c r="B4" s="293"/>
      <c r="C4" s="293"/>
      <c r="D4" s="293"/>
      <c r="E4" s="293" t="s">
        <v>214</v>
      </c>
      <c r="F4" s="293"/>
      <c r="G4" s="293"/>
      <c r="H4" s="293"/>
      <c r="I4" s="293" t="s">
        <v>215</v>
      </c>
      <c r="J4" s="293"/>
      <c r="K4" s="293"/>
      <c r="L4" s="293"/>
      <c r="M4" s="293" t="s">
        <v>170</v>
      </c>
      <c r="N4" s="293"/>
      <c r="O4" s="293"/>
      <c r="P4" s="293"/>
      <c r="Q4" s="293"/>
      <c r="R4" s="293"/>
    </row>
    <row r="5" spans="1:60" ht="24" customHeight="1" x14ac:dyDescent="0.3">
      <c r="A5" s="294">
        <v>1.0011574074074074E-2</v>
      </c>
      <c r="B5" s="295"/>
      <c r="C5" s="295"/>
      <c r="D5" s="295"/>
      <c r="E5" s="296">
        <v>88.353476999999998</v>
      </c>
      <c r="F5" s="295"/>
      <c r="G5" s="295"/>
      <c r="H5" s="295"/>
      <c r="I5" s="297">
        <v>764.505</v>
      </c>
      <c r="J5" s="295"/>
      <c r="K5" s="295"/>
      <c r="L5" s="295"/>
      <c r="M5" s="297">
        <v>10.5</v>
      </c>
      <c r="N5" s="295"/>
      <c r="O5" s="295"/>
      <c r="P5" s="295"/>
      <c r="Q5" s="295"/>
      <c r="R5" s="295"/>
    </row>
    <row r="7" spans="1:60" ht="14.4" thickBot="1" x14ac:dyDescent="0.35">
      <c r="A7" s="291" t="s">
        <v>216</v>
      </c>
      <c r="B7" s="291"/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291"/>
    </row>
    <row r="8" spans="1:60" ht="42" customHeight="1" x14ac:dyDescent="0.3">
      <c r="A8" s="208" t="s">
        <v>96</v>
      </c>
      <c r="B8" s="209" t="s">
        <v>97</v>
      </c>
      <c r="C8" s="217" t="s">
        <v>98</v>
      </c>
      <c r="D8" s="209" t="s">
        <v>99</v>
      </c>
      <c r="E8" s="209" t="s">
        <v>100</v>
      </c>
      <c r="F8" s="209" t="s">
        <v>101</v>
      </c>
      <c r="G8" s="222" t="s">
        <v>94</v>
      </c>
      <c r="H8" s="217" t="s">
        <v>102</v>
      </c>
      <c r="I8" s="217" t="s">
        <v>103</v>
      </c>
      <c r="J8" s="217" t="s">
        <v>104</v>
      </c>
      <c r="K8" s="217" t="s">
        <v>95</v>
      </c>
      <c r="L8" s="222" t="s">
        <v>110</v>
      </c>
      <c r="M8" s="222" t="s">
        <v>111</v>
      </c>
      <c r="N8" s="222" t="s">
        <v>185</v>
      </c>
      <c r="O8" s="229" t="s">
        <v>116</v>
      </c>
      <c r="P8" s="229" t="s">
        <v>117</v>
      </c>
      <c r="Q8" s="209" t="s">
        <v>82</v>
      </c>
      <c r="R8" s="234" t="s">
        <v>112</v>
      </c>
      <c r="S8" s="238" t="s">
        <v>186</v>
      </c>
      <c r="T8" s="238" t="s">
        <v>119</v>
      </c>
      <c r="U8" s="238" t="s">
        <v>120</v>
      </c>
      <c r="V8" s="238" t="s">
        <v>121</v>
      </c>
      <c r="W8" s="239" t="s">
        <v>83</v>
      </c>
      <c r="X8" s="239" t="s">
        <v>84</v>
      </c>
      <c r="Y8" s="239" t="s">
        <v>85</v>
      </c>
      <c r="Z8" s="239" t="s">
        <v>86</v>
      </c>
      <c r="AA8" s="239" t="s">
        <v>87</v>
      </c>
      <c r="AB8" s="239" t="s">
        <v>88</v>
      </c>
      <c r="AC8" s="239" t="s">
        <v>89</v>
      </c>
      <c r="AD8" s="239" t="s">
        <v>90</v>
      </c>
      <c r="AE8" s="239" t="s">
        <v>91</v>
      </c>
      <c r="AF8" s="238" t="s">
        <v>161</v>
      </c>
      <c r="AG8" s="238" t="s">
        <v>122</v>
      </c>
      <c r="AH8" s="238" t="s">
        <v>123</v>
      </c>
      <c r="AI8" s="238" t="s">
        <v>124</v>
      </c>
      <c r="AJ8" s="238" t="s">
        <v>125</v>
      </c>
      <c r="AK8" s="238" t="s">
        <v>126</v>
      </c>
      <c r="AL8" s="238" t="s">
        <v>127</v>
      </c>
      <c r="AM8" s="238" t="s">
        <v>93</v>
      </c>
      <c r="AN8" s="238" t="s">
        <v>128</v>
      </c>
      <c r="AO8" s="238" t="s">
        <v>71</v>
      </c>
      <c r="AP8" s="238" t="s">
        <v>72</v>
      </c>
      <c r="AQ8" s="238" t="s">
        <v>129</v>
      </c>
      <c r="AR8" s="238" t="s">
        <v>160</v>
      </c>
      <c r="AS8" s="238" t="s">
        <v>105</v>
      </c>
      <c r="AT8" s="238" t="s">
        <v>106</v>
      </c>
      <c r="AU8" s="238" t="s">
        <v>108</v>
      </c>
      <c r="AV8" s="238" t="s">
        <v>107</v>
      </c>
      <c r="AW8" s="238" t="s">
        <v>109</v>
      </c>
      <c r="AX8" s="238" t="s">
        <v>188</v>
      </c>
      <c r="AY8" s="238" t="s">
        <v>187</v>
      </c>
      <c r="AZ8" s="238" t="s">
        <v>189</v>
      </c>
      <c r="BA8" s="238" t="s">
        <v>190</v>
      </c>
      <c r="BB8" s="238" t="s">
        <v>191</v>
      </c>
      <c r="BC8" s="238" t="s">
        <v>192</v>
      </c>
      <c r="BD8" s="238" t="s">
        <v>204</v>
      </c>
      <c r="BE8" s="238" t="s">
        <v>205</v>
      </c>
      <c r="BF8" s="238" t="s">
        <v>206</v>
      </c>
      <c r="BG8" s="238" t="s">
        <v>207</v>
      </c>
      <c r="BH8" s="238" t="s">
        <v>208</v>
      </c>
    </row>
    <row r="9" spans="1:60" ht="22.05" customHeight="1" x14ac:dyDescent="0.3">
      <c r="A9" s="213" t="s">
        <v>193</v>
      </c>
      <c r="B9" s="214" t="s">
        <v>194</v>
      </c>
      <c r="C9" s="218">
        <v>10</v>
      </c>
      <c r="D9" s="214" t="s">
        <v>202</v>
      </c>
      <c r="E9" s="214">
        <v>10</v>
      </c>
      <c r="F9" s="214">
        <v>15</v>
      </c>
      <c r="G9" s="223">
        <v>0.9</v>
      </c>
      <c r="H9" s="218">
        <v>100</v>
      </c>
      <c r="I9" s="218">
        <v>200</v>
      </c>
      <c r="J9" s="218"/>
      <c r="K9" s="218">
        <v>1200</v>
      </c>
      <c r="L9" s="223">
        <v>0.14130000000000001</v>
      </c>
      <c r="M9" s="223">
        <v>1.413</v>
      </c>
      <c r="N9" s="223">
        <v>2.2153592311236845</v>
      </c>
      <c r="O9" s="230">
        <v>1.48</v>
      </c>
      <c r="P9" s="230">
        <v>14.81</v>
      </c>
      <c r="Q9" s="214" t="s">
        <v>0</v>
      </c>
      <c r="R9" s="235">
        <v>10.5</v>
      </c>
      <c r="S9" s="205">
        <v>8.0486925644570171</v>
      </c>
      <c r="T9" s="207">
        <v>4.45</v>
      </c>
      <c r="U9" s="207">
        <v>8.39</v>
      </c>
      <c r="V9" s="207">
        <v>0.18</v>
      </c>
      <c r="W9" s="207">
        <v>0.67</v>
      </c>
      <c r="X9" s="207">
        <v>0.45</v>
      </c>
      <c r="Y9" s="207">
        <v>0</v>
      </c>
      <c r="Z9" s="207">
        <v>1.26</v>
      </c>
      <c r="AA9" s="207">
        <v>0.85</v>
      </c>
      <c r="AB9" s="207">
        <v>0.18</v>
      </c>
      <c r="AC9" s="207">
        <v>-0.59</v>
      </c>
      <c r="AD9" s="207">
        <v>-0.4</v>
      </c>
      <c r="AE9" s="207">
        <v>-0.81</v>
      </c>
      <c r="AF9" s="207">
        <v>14.84</v>
      </c>
      <c r="AG9" s="207">
        <v>2.4700000000000002</v>
      </c>
      <c r="AH9" s="207">
        <v>3.49</v>
      </c>
      <c r="AI9" s="205">
        <v>0.23503721895537877</v>
      </c>
      <c r="AJ9" s="207">
        <v>11.16</v>
      </c>
      <c r="AK9" s="207">
        <v>15.77</v>
      </c>
      <c r="AL9" s="207">
        <v>1</v>
      </c>
      <c r="AM9" s="207">
        <v>5.75</v>
      </c>
      <c r="AN9" s="207">
        <v>3.94</v>
      </c>
      <c r="AO9" s="207">
        <v>0.21</v>
      </c>
      <c r="AP9" s="207">
        <v>0.26</v>
      </c>
      <c r="AQ9" s="207">
        <v>0</v>
      </c>
      <c r="AR9" s="205">
        <v>22100</v>
      </c>
      <c r="AS9" s="205">
        <v>20000</v>
      </c>
      <c r="AT9" s="205">
        <v>200000</v>
      </c>
      <c r="AU9" s="205">
        <v>11654.866776461626</v>
      </c>
      <c r="AV9" s="205">
        <v>1165.4866776461627</v>
      </c>
      <c r="AW9" s="205">
        <v>11654.866776461626</v>
      </c>
      <c r="AX9" s="205">
        <v>22100</v>
      </c>
      <c r="AY9" s="205">
        <v>471.23889803846896</v>
      </c>
      <c r="AZ9" s="205">
        <v>22100</v>
      </c>
      <c r="BA9" s="205">
        <v>2.1323027060564208E-2</v>
      </c>
      <c r="BB9" s="205">
        <v>0.16666666666666666</v>
      </c>
      <c r="BC9" s="205">
        <v>1.6879896937272307</v>
      </c>
      <c r="BD9" s="205">
        <v>0.6</v>
      </c>
      <c r="BE9" s="205">
        <v>13260</v>
      </c>
      <c r="BF9" s="205">
        <v>0.11</v>
      </c>
      <c r="BG9" s="205">
        <v>0.02</v>
      </c>
      <c r="BH9" s="205">
        <v>2.6969389227213201</v>
      </c>
    </row>
    <row r="10" spans="1:60" ht="22.05" customHeight="1" x14ac:dyDescent="0.3">
      <c r="A10" s="215" t="s">
        <v>193</v>
      </c>
      <c r="B10" s="216" t="s">
        <v>195</v>
      </c>
      <c r="C10" s="219">
        <v>20</v>
      </c>
      <c r="D10" s="216" t="s">
        <v>202</v>
      </c>
      <c r="E10" s="216">
        <v>10</v>
      </c>
      <c r="F10" s="216">
        <v>15</v>
      </c>
      <c r="G10" s="224">
        <v>0.9</v>
      </c>
      <c r="H10" s="219">
        <v>300</v>
      </c>
      <c r="I10" s="219">
        <v>300</v>
      </c>
      <c r="J10" s="219"/>
      <c r="K10" s="219">
        <v>1200</v>
      </c>
      <c r="L10" s="224">
        <v>0.63585000000000003</v>
      </c>
      <c r="M10" s="224">
        <v>12.717000000000001</v>
      </c>
      <c r="N10" s="224">
        <v>3.2857151938595046</v>
      </c>
      <c r="O10" s="231">
        <v>6.68</v>
      </c>
      <c r="P10" s="231">
        <v>133.56</v>
      </c>
      <c r="Q10" s="216" t="s">
        <v>0</v>
      </c>
      <c r="R10" s="236">
        <v>10.5</v>
      </c>
      <c r="S10" s="205">
        <v>9.1190485271928381</v>
      </c>
      <c r="T10" s="207">
        <v>4.45</v>
      </c>
      <c r="U10" s="207">
        <v>8.39</v>
      </c>
      <c r="V10" s="207">
        <v>0.18</v>
      </c>
      <c r="W10" s="207">
        <v>0.67</v>
      </c>
      <c r="X10" s="207">
        <v>0.45</v>
      </c>
      <c r="Y10" s="207">
        <v>0</v>
      </c>
      <c r="Z10" s="207">
        <v>1.26</v>
      </c>
      <c r="AA10" s="207">
        <v>0.85</v>
      </c>
      <c r="AB10" s="207">
        <v>0.18</v>
      </c>
      <c r="AC10" s="207">
        <v>-0.59</v>
      </c>
      <c r="AD10" s="207">
        <v>-0.4</v>
      </c>
      <c r="AE10" s="207">
        <v>-0.81</v>
      </c>
      <c r="AF10" s="207">
        <v>133.53</v>
      </c>
      <c r="AG10" s="207">
        <v>2.4700000000000002</v>
      </c>
      <c r="AH10" s="207">
        <v>31.38</v>
      </c>
      <c r="AI10" s="205">
        <v>0.23503721895537877</v>
      </c>
      <c r="AJ10" s="207">
        <v>11.16</v>
      </c>
      <c r="AK10" s="207">
        <v>141.88999999999999</v>
      </c>
      <c r="AL10" s="207">
        <v>1</v>
      </c>
      <c r="AM10" s="207">
        <v>5.75</v>
      </c>
      <c r="AN10" s="207">
        <v>3.94</v>
      </c>
      <c r="AO10" s="207">
        <v>0.21</v>
      </c>
      <c r="AP10" s="207">
        <v>0.26</v>
      </c>
      <c r="AQ10" s="207">
        <v>0</v>
      </c>
      <c r="AR10" s="205">
        <v>22100</v>
      </c>
      <c r="AS10" s="205">
        <v>90000</v>
      </c>
      <c r="AT10" s="205">
        <v>1800000</v>
      </c>
      <c r="AU10" s="205">
        <v>35309.733552923251</v>
      </c>
      <c r="AV10" s="205">
        <v>1765.4866776461627</v>
      </c>
      <c r="AW10" s="205">
        <v>35309.733552923251</v>
      </c>
      <c r="AX10" s="205">
        <v>22100</v>
      </c>
      <c r="AY10" s="205">
        <v>471.23889803846896</v>
      </c>
      <c r="AZ10" s="205">
        <v>22100</v>
      </c>
      <c r="BA10" s="205">
        <v>2.1323027060564208E-2</v>
      </c>
      <c r="BB10" s="205">
        <v>0.16666666666666666</v>
      </c>
      <c r="BC10" s="205">
        <v>1.6879896937272307</v>
      </c>
      <c r="BD10" s="205">
        <v>0.75</v>
      </c>
      <c r="BE10" s="205">
        <v>16575</v>
      </c>
      <c r="BF10" s="205">
        <v>0.11</v>
      </c>
      <c r="BG10" s="205">
        <v>0.02</v>
      </c>
      <c r="BH10" s="205">
        <v>3.9482903605702622</v>
      </c>
    </row>
    <row r="11" spans="1:60" ht="22.05" customHeight="1" x14ac:dyDescent="0.3">
      <c r="A11" s="213" t="s">
        <v>193</v>
      </c>
      <c r="B11" s="214" t="s">
        <v>196</v>
      </c>
      <c r="C11" s="218">
        <v>30</v>
      </c>
      <c r="D11" s="214" t="s">
        <v>202</v>
      </c>
      <c r="E11" s="214">
        <v>0</v>
      </c>
      <c r="F11" s="214">
        <v>0</v>
      </c>
      <c r="G11" s="223">
        <v>0.9</v>
      </c>
      <c r="H11" s="218">
        <v>500</v>
      </c>
      <c r="I11" s="218">
        <v>500</v>
      </c>
      <c r="J11" s="218"/>
      <c r="K11" s="218">
        <v>1200</v>
      </c>
      <c r="L11" s="223">
        <v>1.7662500000000001</v>
      </c>
      <c r="M11" s="223">
        <v>52.987500000000004</v>
      </c>
      <c r="N11" s="223">
        <v>2.7149321266968327</v>
      </c>
      <c r="O11" s="230">
        <v>18.55</v>
      </c>
      <c r="P11" s="230">
        <v>556.4</v>
      </c>
      <c r="Q11" s="214" t="s">
        <v>0</v>
      </c>
      <c r="R11" s="235">
        <v>10.5</v>
      </c>
      <c r="S11" s="205">
        <v>8.5482654600301657</v>
      </c>
      <c r="T11" s="207">
        <v>4.45</v>
      </c>
      <c r="U11" s="207">
        <v>8.39</v>
      </c>
      <c r="V11" s="207">
        <v>0.18</v>
      </c>
      <c r="W11" s="207">
        <v>0.67</v>
      </c>
      <c r="X11" s="207">
        <v>0.45</v>
      </c>
      <c r="Y11" s="207">
        <v>0</v>
      </c>
      <c r="Z11" s="207">
        <v>1.26</v>
      </c>
      <c r="AA11" s="207">
        <v>0.85</v>
      </c>
      <c r="AB11" s="207">
        <v>0.18</v>
      </c>
      <c r="AC11" s="207">
        <v>-0.59</v>
      </c>
      <c r="AD11" s="207">
        <v>-0.4</v>
      </c>
      <c r="AE11" s="207">
        <v>-0.81</v>
      </c>
      <c r="AF11" s="207">
        <v>556.37</v>
      </c>
      <c r="AG11" s="207">
        <v>2.4700000000000002</v>
      </c>
      <c r="AH11" s="207">
        <v>130.77000000000001</v>
      </c>
      <c r="AI11" s="205">
        <v>0.23503721895537877</v>
      </c>
      <c r="AJ11" s="207">
        <v>11.16</v>
      </c>
      <c r="AK11" s="207">
        <v>591.23</v>
      </c>
      <c r="AL11" s="207">
        <v>1</v>
      </c>
      <c r="AM11" s="207">
        <v>5.75</v>
      </c>
      <c r="AN11" s="207">
        <v>3.94</v>
      </c>
      <c r="AO11" s="207">
        <v>0.21</v>
      </c>
      <c r="AP11" s="207">
        <v>0.26</v>
      </c>
      <c r="AQ11" s="207">
        <v>0</v>
      </c>
      <c r="AR11" s="205">
        <v>22100</v>
      </c>
      <c r="AS11" s="205">
        <v>250000</v>
      </c>
      <c r="AT11" s="205">
        <v>7500000</v>
      </c>
      <c r="AU11" s="205">
        <v>60000</v>
      </c>
      <c r="AV11" s="205">
        <v>2000</v>
      </c>
      <c r="AW11" s="205">
        <v>60000</v>
      </c>
      <c r="AX11" s="205">
        <v>22100</v>
      </c>
      <c r="AY11" s="205">
        <v>0</v>
      </c>
      <c r="AZ11" s="205">
        <v>0</v>
      </c>
      <c r="BA11" s="205">
        <v>0</v>
      </c>
      <c r="BB11" s="205">
        <v>0</v>
      </c>
      <c r="BC11" s="205">
        <v>0</v>
      </c>
      <c r="BD11" s="205">
        <v>0.75</v>
      </c>
      <c r="BE11" s="205">
        <v>16575</v>
      </c>
      <c r="BF11" s="205">
        <v>0.01</v>
      </c>
      <c r="BG11" s="205">
        <v>0.02</v>
      </c>
      <c r="BH11" s="205">
        <v>3.6499095022624433</v>
      </c>
    </row>
    <row r="12" spans="1:60" ht="22.05" customHeight="1" x14ac:dyDescent="0.3">
      <c r="A12" s="215" t="s">
        <v>193</v>
      </c>
      <c r="B12" s="216" t="s">
        <v>197</v>
      </c>
      <c r="C12" s="219">
        <v>50</v>
      </c>
      <c r="D12" s="216" t="s">
        <v>202</v>
      </c>
      <c r="E12" s="216">
        <v>0</v>
      </c>
      <c r="F12" s="216">
        <v>0</v>
      </c>
      <c r="G12" s="224">
        <v>0.9</v>
      </c>
      <c r="H12" s="219">
        <v>150</v>
      </c>
      <c r="I12" s="219">
        <v>50</v>
      </c>
      <c r="J12" s="219"/>
      <c r="K12" s="219">
        <v>1200</v>
      </c>
      <c r="L12" s="224">
        <v>5.29875E-2</v>
      </c>
      <c r="M12" s="224">
        <v>2.649375</v>
      </c>
      <c r="N12" s="224">
        <v>0.90497737556561086</v>
      </c>
      <c r="O12" s="231">
        <v>0.56000000000000005</v>
      </c>
      <c r="P12" s="231">
        <v>27.83</v>
      </c>
      <c r="Q12" s="216" t="s">
        <v>0</v>
      </c>
      <c r="R12" s="236">
        <v>10.5</v>
      </c>
      <c r="S12" s="205">
        <v>6.7383107088989442</v>
      </c>
      <c r="T12" s="207">
        <v>4.45</v>
      </c>
      <c r="U12" s="207">
        <v>8.39</v>
      </c>
      <c r="V12" s="207">
        <v>0.18</v>
      </c>
      <c r="W12" s="207">
        <v>0.67</v>
      </c>
      <c r="X12" s="207">
        <v>0.45</v>
      </c>
      <c r="Y12" s="207">
        <v>0</v>
      </c>
      <c r="Z12" s="207">
        <v>1.26</v>
      </c>
      <c r="AA12" s="207">
        <v>0.85</v>
      </c>
      <c r="AB12" s="207">
        <v>0.18</v>
      </c>
      <c r="AC12" s="207">
        <v>-0.59</v>
      </c>
      <c r="AD12" s="207">
        <v>-0.4</v>
      </c>
      <c r="AE12" s="207">
        <v>-0.81</v>
      </c>
      <c r="AF12" s="207">
        <v>27.82</v>
      </c>
      <c r="AG12" s="207">
        <v>2.4700000000000002</v>
      </c>
      <c r="AH12" s="207">
        <v>6.54</v>
      </c>
      <c r="AI12" s="205">
        <v>0.23503721895537877</v>
      </c>
      <c r="AJ12" s="207">
        <v>11.16</v>
      </c>
      <c r="AK12" s="207">
        <v>29.56</v>
      </c>
      <c r="AL12" s="207">
        <v>1</v>
      </c>
      <c r="AM12" s="207">
        <v>5.75</v>
      </c>
      <c r="AN12" s="207">
        <v>3.94</v>
      </c>
      <c r="AO12" s="207">
        <v>0.21</v>
      </c>
      <c r="AP12" s="207">
        <v>0.26</v>
      </c>
      <c r="AQ12" s="207">
        <v>0</v>
      </c>
      <c r="AR12" s="205">
        <v>22100</v>
      </c>
      <c r="AS12" s="205">
        <v>7500</v>
      </c>
      <c r="AT12" s="205">
        <v>375000</v>
      </c>
      <c r="AU12" s="205">
        <v>20000</v>
      </c>
      <c r="AV12" s="205">
        <v>400</v>
      </c>
      <c r="AW12" s="205">
        <v>20000</v>
      </c>
      <c r="AX12" s="205">
        <v>22100</v>
      </c>
      <c r="AY12" s="205">
        <v>0</v>
      </c>
      <c r="AZ12" s="205">
        <v>0</v>
      </c>
      <c r="BA12" s="205">
        <v>0</v>
      </c>
      <c r="BB12" s="205">
        <v>0</v>
      </c>
      <c r="BC12" s="205">
        <v>0</v>
      </c>
      <c r="BD12" s="205">
        <v>0.35</v>
      </c>
      <c r="BE12" s="205">
        <v>7734.9999999999991</v>
      </c>
      <c r="BF12" s="205">
        <v>0.01</v>
      </c>
      <c r="BG12" s="205">
        <v>1.3333333333333334E-2</v>
      </c>
      <c r="BH12" s="205">
        <v>2.608982977806507</v>
      </c>
    </row>
    <row r="13" spans="1:60" ht="22.05" customHeight="1" x14ac:dyDescent="0.3">
      <c r="A13" s="213" t="s">
        <v>193</v>
      </c>
      <c r="B13" s="214" t="s">
        <v>198</v>
      </c>
      <c r="C13" s="218">
        <v>100</v>
      </c>
      <c r="D13" s="214" t="s">
        <v>202</v>
      </c>
      <c r="E13" s="214">
        <v>0</v>
      </c>
      <c r="F13" s="214">
        <v>0</v>
      </c>
      <c r="G13" s="223">
        <v>0.9</v>
      </c>
      <c r="H13" s="218">
        <v>50</v>
      </c>
      <c r="I13" s="218">
        <v>50</v>
      </c>
      <c r="J13" s="218"/>
      <c r="K13" s="218">
        <v>1200</v>
      </c>
      <c r="L13" s="223">
        <v>1.7662500000000001E-2</v>
      </c>
      <c r="M13" s="223">
        <v>1.7662500000000001</v>
      </c>
      <c r="N13" s="223">
        <v>0.90497737556561086</v>
      </c>
      <c r="O13" s="230">
        <v>0.19</v>
      </c>
      <c r="P13" s="230">
        <v>18.59</v>
      </c>
      <c r="Q13" s="214" t="s">
        <v>0</v>
      </c>
      <c r="R13" s="235">
        <v>10.5</v>
      </c>
      <c r="S13" s="205">
        <v>6.7383107088989442</v>
      </c>
      <c r="T13" s="207">
        <v>4.45</v>
      </c>
      <c r="U13" s="207">
        <v>8.39</v>
      </c>
      <c r="V13" s="207">
        <v>0.18</v>
      </c>
      <c r="W13" s="207">
        <v>0.67</v>
      </c>
      <c r="X13" s="207">
        <v>0.45</v>
      </c>
      <c r="Y13" s="207">
        <v>0</v>
      </c>
      <c r="Z13" s="207">
        <v>1.26</v>
      </c>
      <c r="AA13" s="207">
        <v>0.85</v>
      </c>
      <c r="AB13" s="207">
        <v>0.18</v>
      </c>
      <c r="AC13" s="207">
        <v>-0.59</v>
      </c>
      <c r="AD13" s="207">
        <v>-0.4</v>
      </c>
      <c r="AE13" s="207">
        <v>-0.81</v>
      </c>
      <c r="AF13" s="207">
        <v>18.55</v>
      </c>
      <c r="AG13" s="207">
        <v>2.4700000000000002</v>
      </c>
      <c r="AH13" s="207">
        <v>4.3600000000000003</v>
      </c>
      <c r="AI13" s="205">
        <v>0.23503721895537877</v>
      </c>
      <c r="AJ13" s="207">
        <v>11.16</v>
      </c>
      <c r="AK13" s="207">
        <v>19.71</v>
      </c>
      <c r="AL13" s="207">
        <v>1</v>
      </c>
      <c r="AM13" s="207">
        <v>5.75</v>
      </c>
      <c r="AN13" s="207">
        <v>3.94</v>
      </c>
      <c r="AO13" s="207">
        <v>0.21</v>
      </c>
      <c r="AP13" s="207">
        <v>0.26</v>
      </c>
      <c r="AQ13" s="207">
        <v>0</v>
      </c>
      <c r="AR13" s="205">
        <v>22100</v>
      </c>
      <c r="AS13" s="205">
        <v>2500</v>
      </c>
      <c r="AT13" s="205">
        <v>250000</v>
      </c>
      <c r="AU13" s="205">
        <v>20000</v>
      </c>
      <c r="AV13" s="205">
        <v>200</v>
      </c>
      <c r="AW13" s="205">
        <v>20000</v>
      </c>
      <c r="AX13" s="205">
        <v>22100</v>
      </c>
      <c r="AY13" s="205">
        <v>0</v>
      </c>
      <c r="AZ13" s="205">
        <v>0</v>
      </c>
      <c r="BA13" s="205">
        <v>0</v>
      </c>
      <c r="BB13" s="205">
        <v>0</v>
      </c>
      <c r="BC13" s="205">
        <v>0</v>
      </c>
      <c r="BD13" s="205">
        <v>0.35</v>
      </c>
      <c r="BE13" s="205">
        <v>7734.9999999999991</v>
      </c>
      <c r="BF13" s="205">
        <v>0.01</v>
      </c>
      <c r="BG13" s="205">
        <v>1.3333333333333334E-2</v>
      </c>
      <c r="BH13" s="205">
        <v>2.608982977806507</v>
      </c>
    </row>
    <row r="14" spans="1:60" ht="22.05" customHeight="1" x14ac:dyDescent="0.3">
      <c r="A14" s="215" t="s">
        <v>193</v>
      </c>
      <c r="B14" s="216" t="s">
        <v>199</v>
      </c>
      <c r="C14" s="219">
        <v>200</v>
      </c>
      <c r="D14" s="216" t="s">
        <v>202</v>
      </c>
      <c r="E14" s="216">
        <v>0</v>
      </c>
      <c r="F14" s="216">
        <v>0</v>
      </c>
      <c r="G14" s="224">
        <v>0.9</v>
      </c>
      <c r="H14" s="219">
        <v>45</v>
      </c>
      <c r="I14" s="219">
        <v>20</v>
      </c>
      <c r="J14" s="219"/>
      <c r="K14" s="219">
        <v>1200</v>
      </c>
      <c r="L14" s="224">
        <v>6.3584999999999996E-3</v>
      </c>
      <c r="M14" s="224">
        <v>1.2716999999999998</v>
      </c>
      <c r="N14" s="224">
        <v>1.1764705882352942</v>
      </c>
      <c r="O14" s="231">
        <v>7.0000000000000007E-2</v>
      </c>
      <c r="P14" s="231">
        <v>13.34</v>
      </c>
      <c r="Q14" s="216" t="s">
        <v>0</v>
      </c>
      <c r="R14" s="236">
        <v>10.5</v>
      </c>
      <c r="S14" s="205">
        <v>7.0098039215686274</v>
      </c>
      <c r="T14" s="207">
        <v>4.45</v>
      </c>
      <c r="U14" s="207">
        <v>8.39</v>
      </c>
      <c r="V14" s="207">
        <v>0.18</v>
      </c>
      <c r="W14" s="207">
        <v>0.67</v>
      </c>
      <c r="X14" s="207">
        <v>0.45</v>
      </c>
      <c r="Y14" s="207">
        <v>0</v>
      </c>
      <c r="Z14" s="207">
        <v>1.26</v>
      </c>
      <c r="AA14" s="207">
        <v>0.85</v>
      </c>
      <c r="AB14" s="207">
        <v>0.18</v>
      </c>
      <c r="AC14" s="207">
        <v>-0.59</v>
      </c>
      <c r="AD14" s="207">
        <v>-0.4</v>
      </c>
      <c r="AE14" s="207">
        <v>-0.81</v>
      </c>
      <c r="AF14" s="207">
        <v>13.35</v>
      </c>
      <c r="AG14" s="207">
        <v>2.4700000000000002</v>
      </c>
      <c r="AH14" s="207">
        <v>3.14</v>
      </c>
      <c r="AI14" s="205">
        <v>0.23503721895537877</v>
      </c>
      <c r="AJ14" s="207">
        <v>11.16</v>
      </c>
      <c r="AK14" s="207">
        <v>14.19</v>
      </c>
      <c r="AL14" s="207">
        <v>1</v>
      </c>
      <c r="AM14" s="207">
        <v>5.75</v>
      </c>
      <c r="AN14" s="207">
        <v>3.94</v>
      </c>
      <c r="AO14" s="207">
        <v>0.21</v>
      </c>
      <c r="AP14" s="207">
        <v>0.26</v>
      </c>
      <c r="AQ14" s="207">
        <v>0</v>
      </c>
      <c r="AR14" s="205">
        <v>22100</v>
      </c>
      <c r="AS14" s="205">
        <v>900</v>
      </c>
      <c r="AT14" s="205">
        <v>180000</v>
      </c>
      <c r="AU14" s="205">
        <v>26000</v>
      </c>
      <c r="AV14" s="205">
        <v>130</v>
      </c>
      <c r="AW14" s="205">
        <v>26000</v>
      </c>
      <c r="AX14" s="205">
        <v>22100</v>
      </c>
      <c r="AY14" s="205">
        <v>0</v>
      </c>
      <c r="AZ14" s="205">
        <v>0</v>
      </c>
      <c r="BA14" s="205">
        <v>0</v>
      </c>
      <c r="BB14" s="205">
        <v>0</v>
      </c>
      <c r="BC14" s="205">
        <v>0</v>
      </c>
      <c r="BD14" s="205">
        <v>0.35</v>
      </c>
      <c r="BE14" s="205">
        <v>7734.9999999999991</v>
      </c>
      <c r="BF14" s="205">
        <v>0.01</v>
      </c>
      <c r="BG14" s="205">
        <v>1.3333333333333334E-2</v>
      </c>
      <c r="BH14" s="205">
        <v>3.3846778711484595</v>
      </c>
    </row>
    <row r="15" spans="1:60" ht="22.05" customHeight="1" x14ac:dyDescent="0.3">
      <c r="A15" s="213" t="s">
        <v>193</v>
      </c>
      <c r="B15" s="214" t="s">
        <v>200</v>
      </c>
      <c r="C15" s="218">
        <v>100</v>
      </c>
      <c r="D15" s="214" t="s">
        <v>202</v>
      </c>
      <c r="E15" s="214">
        <v>0</v>
      </c>
      <c r="F15" s="214">
        <v>0</v>
      </c>
      <c r="G15" s="223">
        <v>0.9</v>
      </c>
      <c r="H15" s="218">
        <v>100</v>
      </c>
      <c r="I15" s="218">
        <v>100</v>
      </c>
      <c r="J15" s="218"/>
      <c r="K15" s="218">
        <v>1200</v>
      </c>
      <c r="L15" s="223">
        <v>7.0650000000000004E-2</v>
      </c>
      <c r="M15" s="223">
        <v>7.0650000000000004</v>
      </c>
      <c r="N15" s="223">
        <v>1.8099547511312217</v>
      </c>
      <c r="O15" s="230">
        <v>0.74</v>
      </c>
      <c r="P15" s="230">
        <v>74.239999999999995</v>
      </c>
      <c r="Q15" s="214" t="s">
        <v>0</v>
      </c>
      <c r="R15" s="235">
        <v>10.5</v>
      </c>
      <c r="S15" s="205">
        <v>7.6432880844645545</v>
      </c>
      <c r="T15" s="207">
        <v>4.45</v>
      </c>
      <c r="U15" s="207">
        <v>8.39</v>
      </c>
      <c r="V15" s="207">
        <v>0.18</v>
      </c>
      <c r="W15" s="207">
        <v>0.67</v>
      </c>
      <c r="X15" s="207">
        <v>0.45</v>
      </c>
      <c r="Y15" s="207">
        <v>0</v>
      </c>
      <c r="Z15" s="207">
        <v>1.26</v>
      </c>
      <c r="AA15" s="207">
        <v>0.85</v>
      </c>
      <c r="AB15" s="207">
        <v>0.18</v>
      </c>
      <c r="AC15" s="207">
        <v>-0.59</v>
      </c>
      <c r="AD15" s="207">
        <v>-0.4</v>
      </c>
      <c r="AE15" s="207">
        <v>-0.81</v>
      </c>
      <c r="AF15" s="207">
        <v>74.180000000000007</v>
      </c>
      <c r="AG15" s="207">
        <v>2.4700000000000002</v>
      </c>
      <c r="AH15" s="207">
        <v>17.440000000000001</v>
      </c>
      <c r="AI15" s="205">
        <v>0.23503721895537877</v>
      </c>
      <c r="AJ15" s="207">
        <v>11.16</v>
      </c>
      <c r="AK15" s="207">
        <v>78.83</v>
      </c>
      <c r="AL15" s="207">
        <v>1</v>
      </c>
      <c r="AM15" s="207">
        <v>5.75</v>
      </c>
      <c r="AN15" s="207">
        <v>3.94</v>
      </c>
      <c r="AO15" s="207">
        <v>0.21</v>
      </c>
      <c r="AP15" s="207">
        <v>0.26</v>
      </c>
      <c r="AQ15" s="207">
        <v>0</v>
      </c>
      <c r="AR15" s="205">
        <v>22100</v>
      </c>
      <c r="AS15" s="205">
        <v>10000</v>
      </c>
      <c r="AT15" s="205">
        <v>1000000</v>
      </c>
      <c r="AU15" s="205">
        <v>40000</v>
      </c>
      <c r="AV15" s="205">
        <v>400</v>
      </c>
      <c r="AW15" s="205">
        <v>40000</v>
      </c>
      <c r="AX15" s="205">
        <v>22100</v>
      </c>
      <c r="AY15" s="205">
        <v>0</v>
      </c>
      <c r="AZ15" s="205">
        <v>0</v>
      </c>
      <c r="BA15" s="205">
        <v>0</v>
      </c>
      <c r="BB15" s="205">
        <v>0</v>
      </c>
      <c r="BC15" s="205">
        <v>0</v>
      </c>
      <c r="BD15" s="205">
        <v>0.35</v>
      </c>
      <c r="BE15" s="205">
        <v>7734.9999999999991</v>
      </c>
      <c r="BF15" s="205">
        <v>0.01</v>
      </c>
      <c r="BG15" s="205">
        <v>1.3333333333333334E-2</v>
      </c>
      <c r="BH15" s="205">
        <v>5.1946326222796815</v>
      </c>
    </row>
    <row r="16" spans="1:60" ht="22.05" customHeight="1" x14ac:dyDescent="0.3">
      <c r="A16" s="215" t="s">
        <v>193</v>
      </c>
      <c r="B16" s="216" t="s">
        <v>201</v>
      </c>
      <c r="C16" s="219">
        <v>50</v>
      </c>
      <c r="D16" s="216" t="s">
        <v>202</v>
      </c>
      <c r="E16" s="216">
        <v>0</v>
      </c>
      <c r="F16" s="216">
        <v>0</v>
      </c>
      <c r="G16" s="224">
        <v>0.9</v>
      </c>
      <c r="H16" s="219">
        <v>152</v>
      </c>
      <c r="I16" s="219">
        <v>158</v>
      </c>
      <c r="J16" s="219"/>
      <c r="K16" s="219">
        <v>1200</v>
      </c>
      <c r="L16" s="224">
        <v>0.16967304</v>
      </c>
      <c r="M16" s="224">
        <v>8.4836519999999993</v>
      </c>
      <c r="N16" s="224">
        <v>1.4027149321266967</v>
      </c>
      <c r="O16" s="231">
        <v>1.78</v>
      </c>
      <c r="P16" s="231">
        <v>89.04</v>
      </c>
      <c r="Q16" s="216" t="s">
        <v>0</v>
      </c>
      <c r="R16" s="236">
        <v>10.5</v>
      </c>
      <c r="S16" s="205">
        <v>7.2360482654600293</v>
      </c>
      <c r="T16" s="207">
        <v>4.45</v>
      </c>
      <c r="U16" s="207">
        <v>8.39</v>
      </c>
      <c r="V16" s="207">
        <v>0.18</v>
      </c>
      <c r="W16" s="207">
        <v>0.67</v>
      </c>
      <c r="X16" s="207">
        <v>0.45</v>
      </c>
      <c r="Y16" s="207">
        <v>0</v>
      </c>
      <c r="Z16" s="207">
        <v>1.26</v>
      </c>
      <c r="AA16" s="207">
        <v>0.85</v>
      </c>
      <c r="AB16" s="207">
        <v>0.18</v>
      </c>
      <c r="AC16" s="207">
        <v>-0.59</v>
      </c>
      <c r="AD16" s="207">
        <v>-0.4</v>
      </c>
      <c r="AE16" s="207">
        <v>-0.81</v>
      </c>
      <c r="AF16" s="207">
        <v>89.08</v>
      </c>
      <c r="AG16" s="207">
        <v>2.4700000000000002</v>
      </c>
      <c r="AH16" s="207">
        <v>20.94</v>
      </c>
      <c r="AI16" s="205">
        <v>0.23503721895537877</v>
      </c>
      <c r="AJ16" s="207">
        <v>11.16</v>
      </c>
      <c r="AK16" s="207">
        <v>94.66</v>
      </c>
      <c r="AL16" s="207">
        <v>1</v>
      </c>
      <c r="AM16" s="207">
        <v>5.75</v>
      </c>
      <c r="AN16" s="207">
        <v>3.94</v>
      </c>
      <c r="AO16" s="207">
        <v>0.21</v>
      </c>
      <c r="AP16" s="207">
        <v>0.26</v>
      </c>
      <c r="AQ16" s="207">
        <v>0</v>
      </c>
      <c r="AR16" s="205">
        <v>22100</v>
      </c>
      <c r="AS16" s="205">
        <v>24016</v>
      </c>
      <c r="AT16" s="205">
        <v>1200800</v>
      </c>
      <c r="AU16" s="205">
        <v>31000</v>
      </c>
      <c r="AV16" s="205">
        <v>620</v>
      </c>
      <c r="AW16" s="205">
        <v>31000</v>
      </c>
      <c r="AX16" s="205">
        <v>22100</v>
      </c>
      <c r="AY16" s="205">
        <v>0</v>
      </c>
      <c r="AZ16" s="205">
        <v>0</v>
      </c>
      <c r="BA16" s="205">
        <v>0</v>
      </c>
      <c r="BB16" s="205">
        <v>0</v>
      </c>
      <c r="BC16" s="205">
        <v>0</v>
      </c>
      <c r="BD16" s="205">
        <v>0.45</v>
      </c>
      <c r="BE16" s="205">
        <v>9945</v>
      </c>
      <c r="BF16" s="205">
        <v>0.01</v>
      </c>
      <c r="BG16" s="205">
        <v>1.3333333333333334E-2</v>
      </c>
      <c r="BH16" s="205">
        <v>3.1404776269482149</v>
      </c>
    </row>
    <row r="17" spans="1:18" ht="22.05" customHeight="1" thickBot="1" x14ac:dyDescent="0.35">
      <c r="A17" s="210" t="s">
        <v>217</v>
      </c>
      <c r="B17" s="211"/>
      <c r="C17" s="220"/>
      <c r="D17" s="211"/>
      <c r="E17" s="211"/>
      <c r="F17" s="211"/>
      <c r="G17" s="212"/>
      <c r="H17" s="220"/>
      <c r="I17" s="220"/>
      <c r="J17" s="220"/>
      <c r="K17" s="220"/>
      <c r="L17" s="212"/>
      <c r="M17" s="212">
        <v>88.353476999999998</v>
      </c>
      <c r="N17" s="212"/>
      <c r="O17" s="232"/>
      <c r="P17" s="232"/>
      <c r="Q17" s="211"/>
      <c r="R17" s="237"/>
    </row>
    <row r="19" spans="1:18" x14ac:dyDescent="0.3">
      <c r="A19" s="292" t="s">
        <v>218</v>
      </c>
      <c r="B19" s="292"/>
      <c r="C19" s="292"/>
      <c r="D19" s="292"/>
      <c r="E19" s="292"/>
      <c r="F19" s="292"/>
      <c r="G19" s="292"/>
      <c r="H19" s="292"/>
    </row>
    <row r="20" spans="1:18" x14ac:dyDescent="0.3">
      <c r="A20" s="292"/>
      <c r="B20" s="292"/>
      <c r="C20" s="292"/>
      <c r="D20" s="292"/>
      <c r="E20" s="292"/>
      <c r="F20" s="292"/>
      <c r="G20" s="292"/>
      <c r="H20" s="292"/>
    </row>
    <row r="21" spans="1:18" x14ac:dyDescent="0.3">
      <c r="A21" s="292"/>
      <c r="B21" s="292"/>
      <c r="C21" s="292"/>
      <c r="D21" s="292"/>
      <c r="E21" s="292"/>
      <c r="F21" s="292"/>
      <c r="G21" s="292"/>
      <c r="H21" s="292"/>
    </row>
  </sheetData>
  <mergeCells count="17">
    <mergeCell ref="A7:R7"/>
    <mergeCell ref="A19:H21"/>
    <mergeCell ref="A4:D4"/>
    <mergeCell ref="E4:H4"/>
    <mergeCell ref="I4:L4"/>
    <mergeCell ref="M4:R4"/>
    <mergeCell ref="A5:D5"/>
    <mergeCell ref="E5:H5"/>
    <mergeCell ref="I5:L5"/>
    <mergeCell ref="M5:R5"/>
    <mergeCell ref="N1:R1"/>
    <mergeCell ref="N2:R2"/>
    <mergeCell ref="A1:B3"/>
    <mergeCell ref="C1:J2"/>
    <mergeCell ref="C3:J3"/>
    <mergeCell ref="K1:M1"/>
    <mergeCell ref="K2:M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7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AUXILIAR</vt:lpstr>
      <vt:lpstr>SIMULADOR-IMPOSTO</vt:lpstr>
      <vt:lpstr>relação-de-peças-1-Teste090</vt:lpstr>
      <vt:lpstr>'relação-de-peças-1-Teste090'!Area_de_impressao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2026-04-10T17:26:57Z</dcterms:modified>
</cp:coreProperties>
</file>