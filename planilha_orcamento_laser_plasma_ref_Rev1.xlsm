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 activeTab="1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PEÇAS!$A$13:$BE$13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8" i="1" l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G9" i="2"/>
  <c r="G10" i="2"/>
  <c r="G8" i="2"/>
  <c r="AR14" i="1"/>
  <c r="G6" i="2"/>
  <c r="G5" i="2"/>
  <c r="BF14" i="1" l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X34" i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X46" i="1"/>
  <c r="AX47" i="1"/>
  <c r="AX48" i="1"/>
  <c r="AX57" i="1"/>
  <c r="AX38" i="1"/>
  <c r="AX49" i="1"/>
  <c r="AX50" i="1"/>
  <c r="AX52" i="1"/>
  <c r="AX39" i="1"/>
  <c r="AX22" i="1"/>
  <c r="AX23" i="1"/>
  <c r="AX24" i="1"/>
  <c r="AX58" i="1"/>
  <c r="BE58" i="1" s="1"/>
  <c r="AX59" i="1"/>
  <c r="BE59" i="1" s="1"/>
  <c r="AX60" i="1"/>
  <c r="BE60" i="1" s="1"/>
  <c r="AX61" i="1"/>
  <c r="BE61" i="1" s="1"/>
  <c r="AX62" i="1"/>
  <c r="BE62" i="1" s="1"/>
  <c r="AX63" i="1"/>
  <c r="BE63" i="1" s="1"/>
  <c r="AX64" i="1"/>
  <c r="BE64" i="1" s="1"/>
  <c r="AX65" i="1"/>
  <c r="BE65" i="1" s="1"/>
  <c r="AX66" i="1"/>
  <c r="BE66" i="1" s="1"/>
  <c r="AX67" i="1"/>
  <c r="BE67" i="1" s="1"/>
  <c r="AX68" i="1"/>
  <c r="BE68" i="1" s="1"/>
  <c r="AX69" i="1"/>
  <c r="BE69" i="1" s="1"/>
  <c r="AX70" i="1"/>
  <c r="BE70" i="1" s="1"/>
  <c r="AX71" i="1"/>
  <c r="BE71" i="1" s="1"/>
  <c r="AX72" i="1"/>
  <c r="BE72" i="1" s="1"/>
  <c r="AX73" i="1"/>
  <c r="BE73" i="1" s="1"/>
  <c r="AX74" i="1"/>
  <c r="BE74" i="1" s="1"/>
  <c r="AX75" i="1"/>
  <c r="BE75" i="1" s="1"/>
  <c r="AX76" i="1"/>
  <c r="BE76" i="1" s="1"/>
  <c r="AX77" i="1"/>
  <c r="BE77" i="1" s="1"/>
  <c r="AX78" i="1"/>
  <c r="BE78" i="1" s="1"/>
  <c r="AX79" i="1"/>
  <c r="BE79" i="1" s="1"/>
  <c r="AX80" i="1"/>
  <c r="BE80" i="1" s="1"/>
  <c r="AX81" i="1"/>
  <c r="BE81" i="1" s="1"/>
  <c r="AX82" i="1"/>
  <c r="BE82" i="1" s="1"/>
  <c r="AX83" i="1"/>
  <c r="BE83" i="1" s="1"/>
  <c r="AX84" i="1"/>
  <c r="BE84" i="1" s="1"/>
  <c r="AX85" i="1"/>
  <c r="BE85" i="1" s="1"/>
  <c r="AX86" i="1"/>
  <c r="BE86" i="1" s="1"/>
  <c r="AX87" i="1"/>
  <c r="BE87" i="1" s="1"/>
  <c r="AX88" i="1"/>
  <c r="BE88" i="1" s="1"/>
  <c r="AX89" i="1"/>
  <c r="BE89" i="1" s="1"/>
  <c r="AX90" i="1"/>
  <c r="BE90" i="1" s="1"/>
  <c r="AX91" i="1"/>
  <c r="BE91" i="1" s="1"/>
  <c r="AX92" i="1"/>
  <c r="BE92" i="1" s="1"/>
  <c r="AX93" i="1"/>
  <c r="BE93" i="1" s="1"/>
  <c r="AX94" i="1"/>
  <c r="BE94" i="1" s="1"/>
  <c r="AX95" i="1"/>
  <c r="BE95" i="1" s="1"/>
  <c r="AX96" i="1"/>
  <c r="BE96" i="1" s="1"/>
  <c r="AX97" i="1"/>
  <c r="BE97" i="1" s="1"/>
  <c r="AX98" i="1"/>
  <c r="BE98" i="1" s="1"/>
  <c r="AX99" i="1"/>
  <c r="BE99" i="1" s="1"/>
  <c r="AX100" i="1"/>
  <c r="BE100" i="1" s="1"/>
  <c r="AX101" i="1"/>
  <c r="BE101" i="1" s="1"/>
  <c r="AX102" i="1"/>
  <c r="BE102" i="1" s="1"/>
  <c r="AX103" i="1"/>
  <c r="BE103" i="1" s="1"/>
  <c r="AX104" i="1"/>
  <c r="BE104" i="1" s="1"/>
  <c r="AX105" i="1"/>
  <c r="BE105" i="1" s="1"/>
  <c r="AX106" i="1"/>
  <c r="BE106" i="1" s="1"/>
  <c r="AX107" i="1"/>
  <c r="BE107" i="1" s="1"/>
  <c r="AX108" i="1"/>
  <c r="BE108" i="1" s="1"/>
  <c r="AX109" i="1"/>
  <c r="BE109" i="1" s="1"/>
  <c r="AX110" i="1"/>
  <c r="BE110" i="1" s="1"/>
  <c r="AX111" i="1"/>
  <c r="BE111" i="1" s="1"/>
  <c r="AX112" i="1"/>
  <c r="BE112" i="1" s="1"/>
  <c r="AX113" i="1"/>
  <c r="BE113" i="1" s="1"/>
  <c r="AX114" i="1"/>
  <c r="BE114" i="1" s="1"/>
  <c r="AX115" i="1"/>
  <c r="BE115" i="1" s="1"/>
  <c r="AX116" i="1"/>
  <c r="BE116" i="1" s="1"/>
  <c r="AX117" i="1"/>
  <c r="BE117" i="1" s="1"/>
  <c r="AX118" i="1"/>
  <c r="BE118" i="1" s="1"/>
  <c r="AX119" i="1"/>
  <c r="BE119" i="1" s="1"/>
  <c r="AX120" i="1"/>
  <c r="BE120" i="1" s="1"/>
  <c r="AX121" i="1"/>
  <c r="BE121" i="1" s="1"/>
  <c r="AX122" i="1"/>
  <c r="BE122" i="1" s="1"/>
  <c r="AX123" i="1"/>
  <c r="BE123" i="1" s="1"/>
  <c r="AX124" i="1"/>
  <c r="BE124" i="1" s="1"/>
  <c r="AX125" i="1"/>
  <c r="BE125" i="1" s="1"/>
  <c r="AX126" i="1"/>
  <c r="BE126" i="1" s="1"/>
  <c r="AX127" i="1"/>
  <c r="BE127" i="1" s="1"/>
  <c r="AX128" i="1"/>
  <c r="BE128" i="1" s="1"/>
  <c r="AX129" i="1"/>
  <c r="BE129" i="1" s="1"/>
  <c r="AX130" i="1"/>
  <c r="BE130" i="1" s="1"/>
  <c r="AX131" i="1"/>
  <c r="BE131" i="1" s="1"/>
  <c r="AX132" i="1"/>
  <c r="BE132" i="1" s="1"/>
  <c r="AX133" i="1"/>
  <c r="BE133" i="1" s="1"/>
  <c r="AX134" i="1"/>
  <c r="BE134" i="1" s="1"/>
  <c r="AX135" i="1"/>
  <c r="BE135" i="1" s="1"/>
  <c r="AX136" i="1"/>
  <c r="BE136" i="1" s="1"/>
  <c r="AX137" i="1"/>
  <c r="BE137" i="1" s="1"/>
  <c r="AX138" i="1"/>
  <c r="BE138" i="1" s="1"/>
  <c r="AX139" i="1"/>
  <c r="BE139" i="1" s="1"/>
  <c r="AX140" i="1"/>
  <c r="BE140" i="1" s="1"/>
  <c r="AX141" i="1"/>
  <c r="BE141" i="1" s="1"/>
  <c r="AX142" i="1"/>
  <c r="BE142" i="1" s="1"/>
  <c r="AX143" i="1"/>
  <c r="BE143" i="1" s="1"/>
  <c r="AX144" i="1"/>
  <c r="BE144" i="1" s="1"/>
  <c r="AX145" i="1"/>
  <c r="BE145" i="1" s="1"/>
  <c r="AX146" i="1"/>
  <c r="BE146" i="1" s="1"/>
  <c r="AX147" i="1"/>
  <c r="BE147" i="1" s="1"/>
  <c r="AX148" i="1"/>
  <c r="BE148" i="1" s="1"/>
  <c r="AX149" i="1"/>
  <c r="BE149" i="1" s="1"/>
  <c r="AX150" i="1"/>
  <c r="BE150" i="1" s="1"/>
  <c r="AX151" i="1"/>
  <c r="BE151" i="1" s="1"/>
  <c r="AX152" i="1"/>
  <c r="BE152" i="1" s="1"/>
  <c r="AX153" i="1"/>
  <c r="BE153" i="1" s="1"/>
  <c r="AX154" i="1"/>
  <c r="BE154" i="1" s="1"/>
  <c r="AX155" i="1"/>
  <c r="BE155" i="1" s="1"/>
  <c r="AX156" i="1"/>
  <c r="BE156" i="1" s="1"/>
  <c r="AX157" i="1"/>
  <c r="BE157" i="1" s="1"/>
  <c r="AX158" i="1"/>
  <c r="BE158" i="1" s="1"/>
  <c r="AX159" i="1"/>
  <c r="BE159" i="1" s="1"/>
  <c r="AX160" i="1"/>
  <c r="BE160" i="1" s="1"/>
  <c r="AX161" i="1"/>
  <c r="BE161" i="1" s="1"/>
  <c r="AX162" i="1"/>
  <c r="BE162" i="1" s="1"/>
  <c r="AX163" i="1"/>
  <c r="BE163" i="1" s="1"/>
  <c r="AX164" i="1"/>
  <c r="BE164" i="1" s="1"/>
  <c r="AX165" i="1"/>
  <c r="BE165" i="1" s="1"/>
  <c r="AX166" i="1"/>
  <c r="BE166" i="1" s="1"/>
  <c r="AX167" i="1"/>
  <c r="BE167" i="1" s="1"/>
  <c r="AX168" i="1"/>
  <c r="BE168" i="1" s="1"/>
  <c r="AX169" i="1"/>
  <c r="BE169" i="1" s="1"/>
  <c r="AX170" i="1"/>
  <c r="BE170" i="1" s="1"/>
  <c r="AX171" i="1"/>
  <c r="BE171" i="1" s="1"/>
  <c r="AX172" i="1"/>
  <c r="BE172" i="1" s="1"/>
  <c r="AX173" i="1"/>
  <c r="BE173" i="1" s="1"/>
  <c r="AX174" i="1"/>
  <c r="BE174" i="1" s="1"/>
  <c r="AX175" i="1"/>
  <c r="BE175" i="1" s="1"/>
  <c r="AX176" i="1"/>
  <c r="BE176" i="1" s="1"/>
  <c r="AX177" i="1"/>
  <c r="BE177" i="1" s="1"/>
  <c r="AX178" i="1"/>
  <c r="BE178" i="1" s="1"/>
  <c r="AX179" i="1"/>
  <c r="BE179" i="1" s="1"/>
  <c r="AX180" i="1"/>
  <c r="BE180" i="1" s="1"/>
  <c r="AX181" i="1"/>
  <c r="BE181" i="1" s="1"/>
  <c r="AX182" i="1"/>
  <c r="BE182" i="1" s="1"/>
  <c r="AX183" i="1"/>
  <c r="BE183" i="1" s="1"/>
  <c r="AX184" i="1"/>
  <c r="BE184" i="1" s="1"/>
  <c r="AX185" i="1"/>
  <c r="BE185" i="1" s="1"/>
  <c r="AX186" i="1"/>
  <c r="BE186" i="1" s="1"/>
  <c r="AX187" i="1"/>
  <c r="BE187" i="1" s="1"/>
  <c r="AX188" i="1"/>
  <c r="BE188" i="1" s="1"/>
  <c r="AX189" i="1"/>
  <c r="BE189" i="1" s="1"/>
  <c r="AX190" i="1"/>
  <c r="BE190" i="1" s="1"/>
  <c r="AX191" i="1"/>
  <c r="BE191" i="1" s="1"/>
  <c r="AX192" i="1"/>
  <c r="BE192" i="1" s="1"/>
  <c r="AX193" i="1"/>
  <c r="BE193" i="1" s="1"/>
  <c r="AX194" i="1"/>
  <c r="BE194" i="1" s="1"/>
  <c r="AX195" i="1"/>
  <c r="BE195" i="1" s="1"/>
  <c r="AX196" i="1"/>
  <c r="BE196" i="1" s="1"/>
  <c r="AX197" i="1"/>
  <c r="BE197" i="1" s="1"/>
  <c r="AX198" i="1"/>
  <c r="BE198" i="1" s="1"/>
  <c r="AX199" i="1"/>
  <c r="BE199" i="1" s="1"/>
  <c r="AX200" i="1"/>
  <c r="BE200" i="1" s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BA31" i="1" s="1"/>
  <c r="BC31" i="1" s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A17" i="1" s="1"/>
  <c r="AZ17" i="1"/>
  <c r="BB17" i="1"/>
  <c r="BC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AZ33" i="1"/>
  <c r="BB33" i="1"/>
  <c r="S34" i="1"/>
  <c r="AO34" i="1" s="1"/>
  <c r="AL34" i="1"/>
  <c r="AP34" i="1"/>
  <c r="AR34" i="1"/>
  <c r="AS34" i="1"/>
  <c r="AT34" i="1" s="1"/>
  <c r="AV34" i="1"/>
  <c r="AY34" i="1"/>
  <c r="AZ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AZ45" i="1"/>
  <c r="BB45" i="1"/>
  <c r="S46" i="1"/>
  <c r="AO46" i="1" s="1"/>
  <c r="U46" i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A39" i="1" s="1"/>
  <c r="BC39" i="1" s="1"/>
  <c r="AZ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U58" i="1" s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U59" i="1" s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U60" i="1" s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W61" i="1" s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AV62" i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AV63" i="1"/>
  <c r="AU63" i="1" s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U64" i="1" s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AV65" i="1"/>
  <c r="AW65" i="1" s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W66" i="1" s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AV67" i="1"/>
  <c r="AU67" i="1" s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W68" i="1" s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U69" i="1" s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AV70" i="1"/>
  <c r="AW70" i="1" s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W71" i="1" s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AV72" i="1"/>
  <c r="AU72" i="1" s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U73" i="1" s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AV74" i="1"/>
  <c r="AU74" i="1" s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AV75" i="1"/>
  <c r="AU75" i="1" s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AV76" i="1"/>
  <c r="AU76" i="1" s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AV77" i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AV78" i="1"/>
  <c r="AU78" i="1" s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U79" i="1" s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AV80" i="1"/>
  <c r="AU80" i="1" s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U81" i="1" s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AV82" i="1"/>
  <c r="AW82" i="1" s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AV83" i="1"/>
  <c r="AU83" i="1" s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AV84" i="1"/>
  <c r="AU84" i="1" s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AV85" i="1"/>
  <c r="AW85" i="1" s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U86" i="1" s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AV87" i="1"/>
  <c r="AU87" i="1" s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W88" i="1" s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U89" i="1" s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U90" i="1" s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U91" i="1" s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AV92" i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AV93" i="1"/>
  <c r="AU93" i="1" s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AV94" i="1"/>
  <c r="AU94" i="1" s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AV95" i="1"/>
  <c r="AU95" i="1" s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AV96" i="1"/>
  <c r="AU96" i="1" s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AV97" i="1"/>
  <c r="AW97" i="1" s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U98" i="1" s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U99" i="1" s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AV100" i="1"/>
  <c r="AU100" i="1" s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W101" i="1" s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AV102" i="1"/>
  <c r="AU102" i="1" s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U103" i="1" s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U104" i="1" s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U105" i="1" s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W106" i="1" s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U107" i="1" s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AV108" i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AV110" i="1"/>
  <c r="AU110" i="1" s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AV111" i="1"/>
  <c r="AU111" i="1" s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U112" i="1" s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W113" i="1" s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AV114" i="1"/>
  <c r="AU114" i="1" s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AV115" i="1"/>
  <c r="AU115" i="1" s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M116" i="1" s="1"/>
  <c r="Q116" i="1" s="1"/>
  <c r="P116" i="1" s="1"/>
  <c r="AV116" i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M117" i="1" s="1"/>
  <c r="AV117" i="1"/>
  <c r="AU117" i="1" s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AV118" i="1"/>
  <c r="AU118" i="1" s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AV119" i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AV120" i="1"/>
  <c r="AU120" i="1" s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U122" i="1" s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AV123" i="1"/>
  <c r="AU123" i="1" s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AT124" i="1"/>
  <c r="AV124" i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U125" i="1" s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U126" i="1" s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AV127" i="1"/>
  <c r="AU127" i="1" s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AV128" i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M129" i="1" s="1"/>
  <c r="AV129" i="1"/>
  <c r="AW129" i="1" s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AV130" i="1"/>
  <c r="AU130" i="1" s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AV131" i="1"/>
  <c r="AU131" i="1" s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U132" i="1" s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AV133" i="1"/>
  <c r="AW133" i="1" s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U134" i="1" s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AV135" i="1"/>
  <c r="AU135" i="1" s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AV136" i="1"/>
  <c r="AU136" i="1" s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AV137" i="1"/>
  <c r="AU137" i="1" s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AV138" i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M139" i="1" s="1"/>
  <c r="AT139" i="1"/>
  <c r="AV139" i="1"/>
  <c r="AU139" i="1" s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AV140" i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AV141" i="1"/>
  <c r="AW141" i="1" s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AV142" i="1"/>
  <c r="AU142" i="1" s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AV143" i="1"/>
  <c r="AU143" i="1" s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AV144" i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W145" i="1" s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U146" i="1" s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AV147" i="1"/>
  <c r="AU147" i="1" s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U148" i="1" s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AV149" i="1"/>
  <c r="AW149" i="1" s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AV150" i="1"/>
  <c r="AU150" i="1" s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U151" i="1" s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U152" i="1" s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AV153" i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U154" i="1" s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AV155" i="1"/>
  <c r="AW155" i="1" s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AV156" i="1"/>
  <c r="AU156" i="1" s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AV157" i="1"/>
  <c r="AU157" i="1" s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AV158" i="1"/>
  <c r="AW158" i="1" s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U159" i="1" s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AV160" i="1"/>
  <c r="AU160" i="1" s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AV161" i="1"/>
  <c r="AU161" i="1" s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U162" i="1" s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AT163" i="1"/>
  <c r="AV163" i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U166" i="1" s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AV167" i="1"/>
  <c r="AW167" i="1" s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AV168" i="1"/>
  <c r="AU168" i="1" s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AV169" i="1"/>
  <c r="AU169" i="1" s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AV170" i="1"/>
  <c r="AW170" i="1" s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U171" i="1" s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AV172" i="1"/>
  <c r="AU172" i="1" s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AV173" i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U174" i="1" s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AV175" i="1"/>
  <c r="AW175" i="1" s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U176" i="1" s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M177" i="1" s="1"/>
  <c r="Q177" i="1" s="1"/>
  <c r="P177" i="1" s="1"/>
  <c r="AV177" i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AV179" i="1"/>
  <c r="AW179" i="1" s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AV180" i="1"/>
  <c r="AU180" i="1" s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AV181" i="1"/>
  <c r="AU181" i="1" s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AV182" i="1"/>
  <c r="AW182" i="1" s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U183" i="1" s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U185" i="1" s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AV186" i="1"/>
  <c r="AU186" i="1" s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U187" i="1" s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AV188" i="1"/>
  <c r="AW188" i="1" s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AV189" i="1"/>
  <c r="AW189" i="1" s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AV190" i="1"/>
  <c r="AU190" i="1" s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AV191" i="1"/>
  <c r="AW191" i="1" s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W192" i="1" s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AV193" i="1"/>
  <c r="AW193" i="1" s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AV194" i="1"/>
  <c r="AU194" i="1" s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AV195" i="1"/>
  <c r="AU195" i="1" s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U197" i="1" s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AV198" i="1"/>
  <c r="AU198" i="1" s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AV199" i="1"/>
  <c r="AU199" i="1" s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U200" i="1" s="1"/>
  <c r="AY200" i="1"/>
  <c r="BA200" i="1" s="1"/>
  <c r="AZ200" i="1"/>
  <c r="BB200" i="1"/>
  <c r="BC200" i="1"/>
  <c r="BB14" i="1"/>
  <c r="AY14" i="1"/>
  <c r="AU24" i="1" l="1"/>
  <c r="BG24" i="1"/>
  <c r="AU38" i="1"/>
  <c r="BG38" i="1"/>
  <c r="BA33" i="1"/>
  <c r="BC33" i="1" s="1"/>
  <c r="AU31" i="1"/>
  <c r="BG31" i="1"/>
  <c r="BE24" i="1"/>
  <c r="BH24" i="1" s="1"/>
  <c r="BE34" i="1"/>
  <c r="AW39" i="1"/>
  <c r="BD39" i="1" s="1"/>
  <c r="BG39" i="1"/>
  <c r="M49" i="1"/>
  <c r="Q49" i="1" s="1"/>
  <c r="P49" i="1" s="1"/>
  <c r="M47" i="1"/>
  <c r="M43" i="1"/>
  <c r="Q43" i="1" s="1"/>
  <c r="P43" i="1" s="1"/>
  <c r="BA34" i="1"/>
  <c r="BC34" i="1" s="1"/>
  <c r="AW32" i="1"/>
  <c r="BD32" i="1" s="1"/>
  <c r="BG32" i="1"/>
  <c r="AU43" i="1"/>
  <c r="BG43" i="1"/>
  <c r="BA36" i="1"/>
  <c r="BC36" i="1" s="1"/>
  <c r="AZ35" i="1"/>
  <c r="BA35" i="1" s="1"/>
  <c r="BC35" i="1" s="1"/>
  <c r="N35" i="1" s="1"/>
  <c r="AU34" i="1"/>
  <c r="BH34" i="1" s="1"/>
  <c r="BG34" i="1"/>
  <c r="BE39" i="1"/>
  <c r="AU33" i="1"/>
  <c r="BG33" i="1"/>
  <c r="AW36" i="1"/>
  <c r="BD36" i="1" s="1"/>
  <c r="BE36" i="1" s="1"/>
  <c r="BG36" i="1"/>
  <c r="AU40" i="1"/>
  <c r="BG40" i="1"/>
  <c r="BE52" i="1"/>
  <c r="AU52" i="1"/>
  <c r="BG52" i="1"/>
  <c r="AU56" i="1"/>
  <c r="BG56" i="1"/>
  <c r="AU51" i="1"/>
  <c r="BG51" i="1"/>
  <c r="M36" i="1"/>
  <c r="Q36" i="1" s="1"/>
  <c r="P36" i="1" s="1"/>
  <c r="AW55" i="1"/>
  <c r="BD55" i="1" s="1"/>
  <c r="BG55" i="1"/>
  <c r="AU35" i="1"/>
  <c r="BG35" i="1"/>
  <c r="AW41" i="1"/>
  <c r="BD41" i="1" s="1"/>
  <c r="BG41" i="1"/>
  <c r="AU49" i="1"/>
  <c r="BG49" i="1"/>
  <c r="M48" i="1"/>
  <c r="AW25" i="1"/>
  <c r="BD25" i="1" s="1"/>
  <c r="BE25" i="1" s="1"/>
  <c r="BG25" i="1"/>
  <c r="AU22" i="1"/>
  <c r="BG22" i="1"/>
  <c r="BA28" i="1"/>
  <c r="BC28" i="1" s="1"/>
  <c r="N28" i="1" s="1"/>
  <c r="BE32" i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BH26" i="1" s="1"/>
  <c r="BG26" i="1"/>
  <c r="AU53" i="1"/>
  <c r="BG53" i="1"/>
  <c r="M42" i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BH178" i="1"/>
  <c r="BH166" i="1"/>
  <c r="BH154" i="1"/>
  <c r="BH142" i="1"/>
  <c r="BH130" i="1"/>
  <c r="BH118" i="1"/>
  <c r="BH106" i="1"/>
  <c r="BH94" i="1"/>
  <c r="BH82" i="1"/>
  <c r="BH70" i="1"/>
  <c r="BH58" i="1"/>
  <c r="BH136" i="1"/>
  <c r="BH124" i="1"/>
  <c r="BH112" i="1"/>
  <c r="BH100" i="1"/>
  <c r="BH88" i="1"/>
  <c r="BH76" i="1"/>
  <c r="BH64" i="1"/>
  <c r="BH122" i="1"/>
  <c r="BH110" i="1"/>
  <c r="BH98" i="1"/>
  <c r="BH86" i="1"/>
  <c r="BH74" i="1"/>
  <c r="BH62" i="1"/>
  <c r="BH189" i="1"/>
  <c r="BH177" i="1"/>
  <c r="BH165" i="1"/>
  <c r="BH153" i="1"/>
  <c r="BH141" i="1"/>
  <c r="BH129" i="1"/>
  <c r="BH117" i="1"/>
  <c r="BH105" i="1"/>
  <c r="BH93" i="1"/>
  <c r="BH81" i="1"/>
  <c r="BH69" i="1"/>
  <c r="BH200" i="1"/>
  <c r="BH188" i="1"/>
  <c r="BH176" i="1"/>
  <c r="BH164" i="1"/>
  <c r="BH152" i="1"/>
  <c r="BH140" i="1"/>
  <c r="BH128" i="1"/>
  <c r="BH116" i="1"/>
  <c r="BH104" i="1"/>
  <c r="BH92" i="1"/>
  <c r="BH80" i="1"/>
  <c r="BH68" i="1"/>
  <c r="BH190" i="1"/>
  <c r="BH199" i="1"/>
  <c r="BH187" i="1"/>
  <c r="BH175" i="1"/>
  <c r="BH163" i="1"/>
  <c r="BH151" i="1"/>
  <c r="BH139" i="1"/>
  <c r="BH127" i="1"/>
  <c r="BH115" i="1"/>
  <c r="BH103" i="1"/>
  <c r="BH91" i="1"/>
  <c r="BH79" i="1"/>
  <c r="BH67" i="1"/>
  <c r="BH198" i="1"/>
  <c r="BH186" i="1"/>
  <c r="BH174" i="1"/>
  <c r="BH162" i="1"/>
  <c r="BH150" i="1"/>
  <c r="BH138" i="1"/>
  <c r="BH126" i="1"/>
  <c r="BH114" i="1"/>
  <c r="BH102" i="1"/>
  <c r="BH90" i="1"/>
  <c r="BH78" i="1"/>
  <c r="BH66" i="1"/>
  <c r="AZ41" i="1"/>
  <c r="BE41" i="1"/>
  <c r="AZ46" i="1"/>
  <c r="BA46" i="1" s="1"/>
  <c r="BC46" i="1" s="1"/>
  <c r="N46" i="1" s="1"/>
  <c r="BH197" i="1"/>
  <c r="BH185" i="1"/>
  <c r="BH173" i="1"/>
  <c r="BH161" i="1"/>
  <c r="BH149" i="1"/>
  <c r="BH137" i="1"/>
  <c r="BH125" i="1"/>
  <c r="BH113" i="1"/>
  <c r="BH101" i="1"/>
  <c r="BH89" i="1"/>
  <c r="BH77" i="1"/>
  <c r="BH65" i="1"/>
  <c r="BH196" i="1"/>
  <c r="BH184" i="1"/>
  <c r="BH172" i="1"/>
  <c r="BH160" i="1"/>
  <c r="BH148" i="1"/>
  <c r="AZ50" i="1"/>
  <c r="BH195" i="1"/>
  <c r="BH183" i="1"/>
  <c r="BH171" i="1"/>
  <c r="BH159" i="1"/>
  <c r="BH147" i="1"/>
  <c r="BH135" i="1"/>
  <c r="BH123" i="1"/>
  <c r="BH111" i="1"/>
  <c r="BH99" i="1"/>
  <c r="BH87" i="1"/>
  <c r="BH75" i="1"/>
  <c r="BH63" i="1"/>
  <c r="AZ40" i="1"/>
  <c r="BH194" i="1"/>
  <c r="BH182" i="1"/>
  <c r="BH170" i="1"/>
  <c r="BH158" i="1"/>
  <c r="BH146" i="1"/>
  <c r="BH134" i="1"/>
  <c r="AZ29" i="1"/>
  <c r="BH193" i="1"/>
  <c r="BH181" i="1"/>
  <c r="BH169" i="1"/>
  <c r="BH157" i="1"/>
  <c r="BH145" i="1"/>
  <c r="BH133" i="1"/>
  <c r="BH121" i="1"/>
  <c r="BH109" i="1"/>
  <c r="BH97" i="1"/>
  <c r="BH85" i="1"/>
  <c r="BH73" i="1"/>
  <c r="BH61" i="1"/>
  <c r="AZ55" i="1"/>
  <c r="BE55" i="1"/>
  <c r="BH192" i="1"/>
  <c r="BH180" i="1"/>
  <c r="BH168" i="1"/>
  <c r="BH156" i="1"/>
  <c r="BH144" i="1"/>
  <c r="BH132" i="1"/>
  <c r="BH120" i="1"/>
  <c r="BH108" i="1"/>
  <c r="BH96" i="1"/>
  <c r="BH84" i="1"/>
  <c r="BH72" i="1"/>
  <c r="BH60" i="1"/>
  <c r="AZ54" i="1"/>
  <c r="AZ30" i="1"/>
  <c r="BH191" i="1"/>
  <c r="BH179" i="1"/>
  <c r="BH167" i="1"/>
  <c r="BH155" i="1"/>
  <c r="BH143" i="1"/>
  <c r="BH131" i="1"/>
  <c r="BH119" i="1"/>
  <c r="BH107" i="1"/>
  <c r="BH95" i="1"/>
  <c r="BH83" i="1"/>
  <c r="BH71" i="1"/>
  <c r="BH59" i="1"/>
  <c r="AZ47" i="1"/>
  <c r="U57" i="1"/>
  <c r="AO119" i="1"/>
  <c r="AT194" i="1"/>
  <c r="AW181" i="1"/>
  <c r="AU88" i="1"/>
  <c r="AU32" i="1"/>
  <c r="BH32" i="1" s="1"/>
  <c r="O32" i="1" s="1"/>
  <c r="U122" i="1"/>
  <c r="AO142" i="1"/>
  <c r="AT82" i="1"/>
  <c r="AU191" i="1"/>
  <c r="AU71" i="1"/>
  <c r="N71" i="1" s="1"/>
  <c r="AO140" i="1"/>
  <c r="U91" i="1"/>
  <c r="BA45" i="1"/>
  <c r="BC45" i="1" s="1"/>
  <c r="AW200" i="1"/>
  <c r="AU167" i="1"/>
  <c r="N167" i="1" s="1"/>
  <c r="U110" i="1"/>
  <c r="AW52" i="1"/>
  <c r="BD52" i="1" s="1"/>
  <c r="AT182" i="1"/>
  <c r="U161" i="1"/>
  <c r="L23" i="1"/>
  <c r="AU39" i="1"/>
  <c r="BH39" i="1" s="1"/>
  <c r="AU155" i="1"/>
  <c r="N155" i="1" s="1"/>
  <c r="U148" i="1"/>
  <c r="AT137" i="1"/>
  <c r="AW56" i="1"/>
  <c r="BD56" i="1" s="1"/>
  <c r="BE56" i="1" s="1"/>
  <c r="AO176" i="1"/>
  <c r="N198" i="1"/>
  <c r="AW103" i="1"/>
  <c r="U95" i="1"/>
  <c r="U94" i="1"/>
  <c r="U182" i="1"/>
  <c r="AW147" i="1"/>
  <c r="AO76" i="1"/>
  <c r="AO74" i="1"/>
  <c r="AT32" i="1"/>
  <c r="U195" i="1"/>
  <c r="AW110" i="1"/>
  <c r="AU85" i="1"/>
  <c r="N85" i="1" s="1"/>
  <c r="L51" i="1"/>
  <c r="AU182" i="1"/>
  <c r="AT173" i="1"/>
  <c r="AW90" i="1"/>
  <c r="U61" i="1"/>
  <c r="U147" i="1"/>
  <c r="AW137" i="1"/>
  <c r="U65" i="1"/>
  <c r="L28" i="1"/>
  <c r="AW198" i="1"/>
  <c r="U170" i="1"/>
  <c r="AO164" i="1"/>
  <c r="AW154" i="1"/>
  <c r="AW131" i="1"/>
  <c r="U102" i="1"/>
  <c r="AT199" i="1"/>
  <c r="AO186" i="1"/>
  <c r="AW152" i="1"/>
  <c r="AW151" i="1"/>
  <c r="AW130" i="1"/>
  <c r="AW127" i="1"/>
  <c r="AO80" i="1"/>
  <c r="AT153" i="1"/>
  <c r="AW150" i="1"/>
  <c r="AO135" i="1"/>
  <c r="AW42" i="1"/>
  <c r="BD42" i="1" s="1"/>
  <c r="BE42" i="1" s="1"/>
  <c r="AT180" i="1"/>
  <c r="AT177" i="1"/>
  <c r="AW176" i="1"/>
  <c r="U139" i="1"/>
  <c r="AO134" i="1"/>
  <c r="AT129" i="1"/>
  <c r="U73" i="1"/>
  <c r="AU170" i="1"/>
  <c r="N170" i="1" s="1"/>
  <c r="AU149" i="1"/>
  <c r="N149" i="1" s="1"/>
  <c r="AW126" i="1"/>
  <c r="AW123" i="1"/>
  <c r="U71" i="1"/>
  <c r="AW59" i="1"/>
  <c r="AT42" i="1"/>
  <c r="AO41" i="1"/>
  <c r="AO198" i="1"/>
  <c r="AU193" i="1"/>
  <c r="N193" i="1" s="1"/>
  <c r="AT170" i="1"/>
  <c r="AW169" i="1"/>
  <c r="AT149" i="1"/>
  <c r="AW143" i="1"/>
  <c r="AT119" i="1"/>
  <c r="AT102" i="1"/>
  <c r="AU66" i="1"/>
  <c r="AO180" i="1"/>
  <c r="AW168" i="1"/>
  <c r="AO127" i="1"/>
  <c r="AW115" i="1"/>
  <c r="AW114" i="1"/>
  <c r="AW112" i="1"/>
  <c r="AT193" i="1"/>
  <c r="AW186" i="1"/>
  <c r="AT169" i="1"/>
  <c r="AW162" i="1"/>
  <c r="AW161" i="1"/>
  <c r="AT141" i="1"/>
  <c r="AT140" i="1"/>
  <c r="AT117" i="1"/>
  <c r="AT116" i="1"/>
  <c r="AO103" i="1"/>
  <c r="AT76" i="1"/>
  <c r="AW75" i="1"/>
  <c r="AU55" i="1"/>
  <c r="AW190" i="1"/>
  <c r="AT188" i="1"/>
  <c r="AT156" i="1"/>
  <c r="AW136" i="1"/>
  <c r="N93" i="1"/>
  <c r="N99" i="1"/>
  <c r="N143" i="1"/>
  <c r="N174" i="1"/>
  <c r="N126" i="1"/>
  <c r="N123" i="1"/>
  <c r="N102" i="1"/>
  <c r="N180" i="1"/>
  <c r="N127" i="1"/>
  <c r="N122" i="1"/>
  <c r="N94" i="1"/>
  <c r="N125" i="1"/>
  <c r="N142" i="1"/>
  <c r="N117" i="1"/>
  <c r="N76" i="1"/>
  <c r="N67" i="1"/>
  <c r="N64" i="1"/>
  <c r="N118" i="1"/>
  <c r="N115" i="1"/>
  <c r="N112" i="1"/>
  <c r="AT18" i="1"/>
  <c r="N172" i="1"/>
  <c r="N148" i="1"/>
  <c r="N105" i="1"/>
  <c r="N100" i="1"/>
  <c r="N114" i="1"/>
  <c r="N197" i="1"/>
  <c r="N171" i="1"/>
  <c r="N169" i="1"/>
  <c r="N146" i="1"/>
  <c r="N185" i="1"/>
  <c r="N135" i="1"/>
  <c r="N81" i="1"/>
  <c r="N200" i="1"/>
  <c r="N190" i="1"/>
  <c r="N136" i="1"/>
  <c r="N134" i="1"/>
  <c r="N83" i="1"/>
  <c r="N154" i="1"/>
  <c r="N131" i="1"/>
  <c r="N91" i="1"/>
  <c r="N87" i="1"/>
  <c r="N195" i="1"/>
  <c r="N152" i="1"/>
  <c r="N151" i="1"/>
  <c r="N130" i="1"/>
  <c r="N147" i="1"/>
  <c r="N120" i="1"/>
  <c r="N66" i="1"/>
  <c r="N168" i="1"/>
  <c r="N139" i="1"/>
  <c r="N191" i="1"/>
  <c r="N187" i="1"/>
  <c r="N186" i="1"/>
  <c r="N183" i="1"/>
  <c r="N182" i="1"/>
  <c r="N166" i="1"/>
  <c r="N162" i="1"/>
  <c r="N161" i="1"/>
  <c r="N160" i="1"/>
  <c r="N159" i="1"/>
  <c r="N156" i="1"/>
  <c r="N80" i="1"/>
  <c r="N73" i="1"/>
  <c r="N72" i="1"/>
  <c r="N38" i="1"/>
  <c r="N157" i="1"/>
  <c r="N137" i="1"/>
  <c r="N84" i="1"/>
  <c r="N199" i="1"/>
  <c r="N181" i="1"/>
  <c r="N88" i="1"/>
  <c r="N22" i="1"/>
  <c r="N132" i="1"/>
  <c r="N96" i="1"/>
  <c r="N150" i="1"/>
  <c r="N194" i="1"/>
  <c r="N176" i="1"/>
  <c r="N103" i="1"/>
  <c r="N58" i="1"/>
  <c r="N90" i="1"/>
  <c r="N89" i="1"/>
  <c r="AW86" i="1"/>
  <c r="AU57" i="1"/>
  <c r="L45" i="1"/>
  <c r="U107" i="1"/>
  <c r="N86" i="1"/>
  <c r="U68" i="1"/>
  <c r="U47" i="1"/>
  <c r="L46" i="1"/>
  <c r="U27" i="1"/>
  <c r="N111" i="1"/>
  <c r="N78" i="1"/>
  <c r="AT111" i="1"/>
  <c r="N110" i="1"/>
  <c r="N79" i="1"/>
  <c r="AT78" i="1"/>
  <c r="N75" i="1"/>
  <c r="AU23" i="1"/>
  <c r="N23" i="1" s="1"/>
  <c r="U37" i="1"/>
  <c r="AO86" i="1"/>
  <c r="N74" i="1"/>
  <c r="AW72" i="1"/>
  <c r="AT108" i="1"/>
  <c r="N107" i="1"/>
  <c r="U88" i="1"/>
  <c r="U39" i="1"/>
  <c r="AU106" i="1"/>
  <c r="N106" i="1" s="1"/>
  <c r="N104" i="1"/>
  <c r="AW96" i="1"/>
  <c r="N95" i="1"/>
  <c r="AT33" i="1"/>
  <c r="N27" i="1"/>
  <c r="BA30" i="1"/>
  <c r="BC30" i="1" s="1"/>
  <c r="N30" i="1" s="1"/>
  <c r="AW93" i="1"/>
  <c r="AW99" i="1"/>
  <c r="N98" i="1"/>
  <c r="AT63" i="1"/>
  <c r="AW30" i="1"/>
  <c r="BD30" i="1" s="1"/>
  <c r="BE30" i="1" s="1"/>
  <c r="AT25" i="1"/>
  <c r="L16" i="1"/>
  <c r="AU18" i="1"/>
  <c r="AT15" i="1"/>
  <c r="AW24" i="1"/>
  <c r="BD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AW139" i="1"/>
  <c r="AT136" i="1"/>
  <c r="AU133" i="1"/>
  <c r="N133" i="1" s="1"/>
  <c r="AW118" i="1"/>
  <c r="AT114" i="1"/>
  <c r="U105" i="1"/>
  <c r="AT96" i="1"/>
  <c r="AT93" i="1"/>
  <c r="AW79" i="1"/>
  <c r="AW64" i="1"/>
  <c r="AU20" i="1"/>
  <c r="AW51" i="1"/>
  <c r="BD51" i="1" s="1"/>
  <c r="BE51" i="1" s="1"/>
  <c r="BH51" i="1" s="1"/>
  <c r="L165" i="1"/>
  <c r="M165" i="1" s="1"/>
  <c r="AF165" i="1" s="1"/>
  <c r="L105" i="1"/>
  <c r="M105" i="1" s="1"/>
  <c r="L81" i="1"/>
  <c r="L69" i="1"/>
  <c r="AO183" i="1"/>
  <c r="AO171" i="1"/>
  <c r="AW166" i="1"/>
  <c r="AO159" i="1"/>
  <c r="AT127" i="1"/>
  <c r="AT123" i="1"/>
  <c r="AW122" i="1"/>
  <c r="AW117" i="1"/>
  <c r="AW102" i="1"/>
  <c r="AT92" i="1"/>
  <c r="AW91" i="1"/>
  <c r="AW87" i="1"/>
  <c r="AO84" i="1"/>
  <c r="AW78" i="1"/>
  <c r="AW74" i="1"/>
  <c r="AT72" i="1"/>
  <c r="AU61" i="1"/>
  <c r="N61" i="1" s="1"/>
  <c r="N39" i="1"/>
  <c r="N51" i="1"/>
  <c r="BA55" i="1"/>
  <c r="BC55" i="1" s="1"/>
  <c r="L200" i="1"/>
  <c r="L176" i="1"/>
  <c r="L164" i="1"/>
  <c r="L152" i="1"/>
  <c r="L104" i="1"/>
  <c r="L68" i="1"/>
  <c r="AW195" i="1"/>
  <c r="AT190" i="1"/>
  <c r="AW185" i="1"/>
  <c r="AT161" i="1"/>
  <c r="AT158" i="1"/>
  <c r="U151" i="1"/>
  <c r="AT143" i="1"/>
  <c r="U141" i="1"/>
  <c r="AT133" i="1"/>
  <c r="AW132" i="1"/>
  <c r="U115" i="1"/>
  <c r="U98" i="1"/>
  <c r="AW95" i="1"/>
  <c r="AT83" i="1"/>
  <c r="N63" i="1"/>
  <c r="N60" i="1"/>
  <c r="N59" i="1"/>
  <c r="AW21" i="1"/>
  <c r="BD21" i="1" s="1"/>
  <c r="AT20" i="1"/>
  <c r="AW29" i="1"/>
  <c r="BD29" i="1" s="1"/>
  <c r="BE29" i="1" s="1"/>
  <c r="AO53" i="1"/>
  <c r="L35" i="1"/>
  <c r="L34" i="1"/>
  <c r="L187" i="1"/>
  <c r="L151" i="1"/>
  <c r="M151" i="1" s="1"/>
  <c r="AK151" i="1" s="1"/>
  <c r="L103" i="1"/>
  <c r="L91" i="1"/>
  <c r="L79" i="1"/>
  <c r="AW157" i="1"/>
  <c r="AW142" i="1"/>
  <c r="AW135" i="1"/>
  <c r="AW105" i="1"/>
  <c r="AW76" i="1"/>
  <c r="N26" i="1"/>
  <c r="L174" i="1"/>
  <c r="L162" i="1"/>
  <c r="M162" i="1" s="1"/>
  <c r="AF162" i="1" s="1"/>
  <c r="L126" i="1"/>
  <c r="L90" i="1"/>
  <c r="L66" i="1"/>
  <c r="M66" i="1" s="1"/>
  <c r="AT195" i="1"/>
  <c r="AU179" i="1"/>
  <c r="N179" i="1" s="1"/>
  <c r="AW172" i="1"/>
  <c r="AW160" i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N24" i="1"/>
  <c r="BA44" i="1"/>
  <c r="AT43" i="1"/>
  <c r="AU16" i="1"/>
  <c r="L30" i="1"/>
  <c r="L197" i="1"/>
  <c r="M197" i="1" s="1"/>
  <c r="AF197" i="1" s="1"/>
  <c r="L185" i="1"/>
  <c r="L125" i="1"/>
  <c r="L113" i="1"/>
  <c r="L101" i="1"/>
  <c r="M101" i="1" s="1"/>
  <c r="Q101" i="1" s="1"/>
  <c r="P101" i="1" s="1"/>
  <c r="L89" i="1"/>
  <c r="L196" i="1"/>
  <c r="M196" i="1" s="1"/>
  <c r="L184" i="1"/>
  <c r="L148" i="1"/>
  <c r="L112" i="1"/>
  <c r="M112" i="1" s="1"/>
  <c r="L88" i="1"/>
  <c r="L64" i="1"/>
  <c r="U197" i="1"/>
  <c r="AU192" i="1"/>
  <c r="N192" i="1" s="1"/>
  <c r="AO190" i="1"/>
  <c r="AU189" i="1"/>
  <c r="N189" i="1" s="1"/>
  <c r="AU188" i="1"/>
  <c r="N188" i="1" s="1"/>
  <c r="AW171" i="1"/>
  <c r="AW159" i="1"/>
  <c r="AT157" i="1"/>
  <c r="AW148" i="1"/>
  <c r="AO146" i="1"/>
  <c r="AU141" i="1"/>
  <c r="N141" i="1" s="1"/>
  <c r="U136" i="1"/>
  <c r="AT135" i="1"/>
  <c r="AW125" i="1"/>
  <c r="AW111" i="1"/>
  <c r="AW94" i="1"/>
  <c r="AO83" i="1"/>
  <c r="L183" i="1"/>
  <c r="L171" i="1"/>
  <c r="L159" i="1"/>
  <c r="L99" i="1"/>
  <c r="AW183" i="1"/>
  <c r="AT181" i="1"/>
  <c r="U173" i="1"/>
  <c r="AT120" i="1"/>
  <c r="AW104" i="1"/>
  <c r="AW84" i="1"/>
  <c r="AW73" i="1"/>
  <c r="AU70" i="1"/>
  <c r="N70" i="1" s="1"/>
  <c r="AU37" i="1"/>
  <c r="AO29" i="1"/>
  <c r="AW34" i="1"/>
  <c r="BD34" i="1" s="1"/>
  <c r="N33" i="1"/>
  <c r="AO26" i="1"/>
  <c r="L146" i="1"/>
  <c r="L134" i="1"/>
  <c r="M134" i="1" s="1"/>
  <c r="L122" i="1"/>
  <c r="L98" i="1"/>
  <c r="L86" i="1"/>
  <c r="M86" i="1" s="1"/>
  <c r="AF86" i="1" s="1"/>
  <c r="AW194" i="1"/>
  <c r="AW156" i="1"/>
  <c r="AW134" i="1"/>
  <c r="AW107" i="1"/>
  <c r="N34" i="1"/>
  <c r="L145" i="1"/>
  <c r="L121" i="1"/>
  <c r="L109" i="1"/>
  <c r="M109" i="1" s="1"/>
  <c r="L73" i="1"/>
  <c r="M73" i="1" s="1"/>
  <c r="AF73" i="1" s="1"/>
  <c r="L61" i="1"/>
  <c r="M61" i="1" s="1"/>
  <c r="AF61" i="1" s="1"/>
  <c r="AW180" i="1"/>
  <c r="AW187" i="1"/>
  <c r="U185" i="1"/>
  <c r="AW174" i="1"/>
  <c r="U166" i="1"/>
  <c r="AT144" i="1"/>
  <c r="U116" i="1"/>
  <c r="AT84" i="1"/>
  <c r="AW80" i="1"/>
  <c r="N69" i="1"/>
  <c r="AW67" i="1"/>
  <c r="AW28" i="1"/>
  <c r="BD28" i="1" s="1"/>
  <c r="BE28" i="1" s="1"/>
  <c r="BH28" i="1" s="1"/>
  <c r="L192" i="1"/>
  <c r="M192" i="1" s="1"/>
  <c r="Q192" i="1" s="1"/>
  <c r="P192" i="1" s="1"/>
  <c r="L132" i="1"/>
  <c r="L60" i="1"/>
  <c r="M60" i="1" s="1"/>
  <c r="L107" i="1"/>
  <c r="L71" i="1"/>
  <c r="L59" i="1"/>
  <c r="N32" i="1"/>
  <c r="N31" i="1"/>
  <c r="L178" i="1"/>
  <c r="L166" i="1"/>
  <c r="L154" i="1"/>
  <c r="L106" i="1"/>
  <c r="M106" i="1" s="1"/>
  <c r="L58" i="1"/>
  <c r="M58" i="1" s="1"/>
  <c r="Q117" i="1"/>
  <c r="P117" i="1" s="1"/>
  <c r="AF117" i="1"/>
  <c r="AK117" i="1"/>
  <c r="AK177" i="1"/>
  <c r="AK114" i="1"/>
  <c r="M199" i="1"/>
  <c r="AF199" i="1" s="1"/>
  <c r="AK116" i="1"/>
  <c r="AK193" i="1"/>
  <c r="BA40" i="1"/>
  <c r="BC40" i="1" s="1"/>
  <c r="N40" i="1" s="1"/>
  <c r="AT68" i="1"/>
  <c r="AT49" i="1"/>
  <c r="L57" i="1"/>
  <c r="U44" i="1"/>
  <c r="AO42" i="1"/>
  <c r="AT19" i="1"/>
  <c r="AW31" i="1"/>
  <c r="BD31" i="1" s="1"/>
  <c r="BE31" i="1" s="1"/>
  <c r="BH31" i="1" s="1"/>
  <c r="U30" i="1"/>
  <c r="AO24" i="1"/>
  <c r="BA48" i="1"/>
  <c r="BC48" i="1" s="1"/>
  <c r="AT47" i="1"/>
  <c r="L37" i="1"/>
  <c r="AT54" i="1"/>
  <c r="AU17" i="1"/>
  <c r="BA41" i="1"/>
  <c r="BC41" i="1" s="1"/>
  <c r="BC44" i="1"/>
  <c r="AW63" i="1"/>
  <c r="AO59" i="1"/>
  <c r="U49" i="1"/>
  <c r="AT48" i="1"/>
  <c r="L26" i="1"/>
  <c r="L40" i="1"/>
  <c r="BA50" i="1"/>
  <c r="BC50" i="1" s="1"/>
  <c r="AW69" i="1"/>
  <c r="AW22" i="1"/>
  <c r="BD22" i="1" s="1"/>
  <c r="BE22" i="1" s="1"/>
  <c r="BH22" i="1" s="1"/>
  <c r="O22" i="1" s="1"/>
  <c r="L21" i="1"/>
  <c r="AW33" i="1"/>
  <c r="BD33" i="1" s="1"/>
  <c r="BE33" i="1" s="1"/>
  <c r="BH33" i="1" s="1"/>
  <c r="O33" i="1" s="1"/>
  <c r="AW26" i="1"/>
  <c r="BD26" i="1" s="1"/>
  <c r="BE26" i="1" s="1"/>
  <c r="AU36" i="1"/>
  <c r="BH36" i="1" s="1"/>
  <c r="O36" i="1" s="1"/>
  <c r="AO28" i="1"/>
  <c r="AU41" i="1"/>
  <c r="L24" i="1"/>
  <c r="AO23" i="1"/>
  <c r="AW43" i="1"/>
  <c r="BD43" i="1" s="1"/>
  <c r="BE43" i="1" s="1"/>
  <c r="AT22" i="1"/>
  <c r="BA52" i="1"/>
  <c r="BC52" i="1" s="1"/>
  <c r="N52" i="1" s="1"/>
  <c r="AW49" i="1"/>
  <c r="BD49" i="1" s="1"/>
  <c r="BE49" i="1" s="1"/>
  <c r="AT36" i="1"/>
  <c r="BA29" i="1"/>
  <c r="BC29" i="1" s="1"/>
  <c r="N29" i="1" s="1"/>
  <c r="L55" i="1"/>
  <c r="AT41" i="1"/>
  <c r="AU25" i="1"/>
  <c r="N25" i="1" s="1"/>
  <c r="AU68" i="1"/>
  <c r="N68" i="1" s="1"/>
  <c r="AO66" i="1"/>
  <c r="BA53" i="1"/>
  <c r="BC53" i="1" s="1"/>
  <c r="N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M191" i="1"/>
  <c r="AF191" i="1" s="1"/>
  <c r="U104" i="1"/>
  <c r="AO104" i="1"/>
  <c r="AO199" i="1"/>
  <c r="AO189" i="1"/>
  <c r="U189" i="1"/>
  <c r="M175" i="1"/>
  <c r="AU153" i="1"/>
  <c r="N153" i="1" s="1"/>
  <c r="AW153" i="1"/>
  <c r="AO196" i="1"/>
  <c r="U196" i="1"/>
  <c r="U174" i="1"/>
  <c r="AO174" i="1"/>
  <c r="U169" i="1"/>
  <c r="AO169" i="1"/>
  <c r="AW197" i="1"/>
  <c r="M189" i="1"/>
  <c r="Q189" i="1" s="1"/>
  <c r="P189" i="1" s="1"/>
  <c r="AT186" i="1"/>
  <c r="U200" i="1"/>
  <c r="AW199" i="1"/>
  <c r="AO191" i="1"/>
  <c r="M187" i="1"/>
  <c r="AF187" i="1" s="1"/>
  <c r="AU178" i="1"/>
  <c r="N178" i="1" s="1"/>
  <c r="AW178" i="1"/>
  <c r="AU184" i="1"/>
  <c r="N184" i="1" s="1"/>
  <c r="AW184" i="1"/>
  <c r="AF139" i="1"/>
  <c r="Q139" i="1"/>
  <c r="P139" i="1" s="1"/>
  <c r="AK139" i="1"/>
  <c r="AT198" i="1"/>
  <c r="M181" i="1"/>
  <c r="Q181" i="1" s="1"/>
  <c r="P181" i="1" s="1"/>
  <c r="U193" i="1"/>
  <c r="M184" i="1"/>
  <c r="AU163" i="1"/>
  <c r="N163" i="1" s="1"/>
  <c r="AW163" i="1"/>
  <c r="U179" i="1"/>
  <c r="AO179" i="1"/>
  <c r="U188" i="1"/>
  <c r="AO188" i="1"/>
  <c r="AU196" i="1"/>
  <c r="N196" i="1" s="1"/>
  <c r="AW196" i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AT160" i="1"/>
  <c r="AU140" i="1"/>
  <c r="N140" i="1" s="1"/>
  <c r="AW140" i="1"/>
  <c r="M115" i="1"/>
  <c r="AF115" i="1" s="1"/>
  <c r="AO168" i="1"/>
  <c r="U168" i="1"/>
  <c r="AO167" i="1"/>
  <c r="AU164" i="1"/>
  <c r="N164" i="1" s="1"/>
  <c r="AW164" i="1"/>
  <c r="M160" i="1"/>
  <c r="AF157" i="1"/>
  <c r="U157" i="1"/>
  <c r="AO155" i="1"/>
  <c r="U192" i="1"/>
  <c r="AO184" i="1"/>
  <c r="U181" i="1"/>
  <c r="AT179" i="1"/>
  <c r="AU177" i="1"/>
  <c r="N177" i="1" s="1"/>
  <c r="AW177" i="1"/>
  <c r="AF177" i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AT130" i="1"/>
  <c r="AO194" i="1"/>
  <c r="AO178" i="1"/>
  <c r="M170" i="1"/>
  <c r="M143" i="1"/>
  <c r="AO187" i="1"/>
  <c r="M158" i="1"/>
  <c r="AK158" i="1" s="1"/>
  <c r="AU138" i="1"/>
  <c r="N138" i="1" s="1"/>
  <c r="AW138" i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AU109" i="1"/>
  <c r="N109" i="1" s="1"/>
  <c r="AO175" i="1"/>
  <c r="AO163" i="1"/>
  <c r="M104" i="1"/>
  <c r="AO156" i="1"/>
  <c r="U144" i="1"/>
  <c r="AU124" i="1"/>
  <c r="N124" i="1" s="1"/>
  <c r="AW124" i="1"/>
  <c r="AU119" i="1"/>
  <c r="N119" i="1" s="1"/>
  <c r="AW119" i="1"/>
  <c r="M133" i="1"/>
  <c r="Q133" i="1" s="1"/>
  <c r="P133" i="1" s="1"/>
  <c r="U132" i="1"/>
  <c r="AU129" i="1"/>
  <c r="N129" i="1" s="1"/>
  <c r="AU128" i="1"/>
  <c r="N128" i="1" s="1"/>
  <c r="AW128" i="1"/>
  <c r="M124" i="1"/>
  <c r="Q124" i="1" s="1"/>
  <c r="P124" i="1" s="1"/>
  <c r="M119" i="1"/>
  <c r="AK119" i="1" s="1"/>
  <c r="AW120" i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AO99" i="1"/>
  <c r="AO126" i="1"/>
  <c r="AO120" i="1"/>
  <c r="AO118" i="1"/>
  <c r="AO112" i="1"/>
  <c r="U112" i="1"/>
  <c r="AO143" i="1"/>
  <c r="AO131" i="1"/>
  <c r="AU116" i="1"/>
  <c r="N116" i="1" s="1"/>
  <c r="AW116" i="1"/>
  <c r="AF116" i="1"/>
  <c r="AW98" i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AF47" i="1"/>
  <c r="Q47" i="1"/>
  <c r="P47" i="1" s="1"/>
  <c r="U19" i="1"/>
  <c r="AO19" i="1"/>
  <c r="AO81" i="1"/>
  <c r="AO100" i="1"/>
  <c r="AT97" i="1"/>
  <c r="AT70" i="1"/>
  <c r="AO109" i="1"/>
  <c r="AW100" i="1"/>
  <c r="U96" i="1"/>
  <c r="AO96" i="1"/>
  <c r="AW83" i="1"/>
  <c r="U101" i="1"/>
  <c r="AU92" i="1"/>
  <c r="N92" i="1" s="1"/>
  <c r="AW92" i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AW81" i="1"/>
  <c r="L39" i="1"/>
  <c r="AT39" i="1"/>
  <c r="AU48" i="1"/>
  <c r="AW48" i="1"/>
  <c r="BD48" i="1" s="1"/>
  <c r="BE48" i="1" s="1"/>
  <c r="AO97" i="1"/>
  <c r="U93" i="1"/>
  <c r="AW89" i="1"/>
  <c r="AO85" i="1"/>
  <c r="AO82" i="1"/>
  <c r="AT80" i="1"/>
  <c r="AT75" i="1"/>
  <c r="AO90" i="1"/>
  <c r="AU82" i="1"/>
  <c r="N82" i="1" s="1"/>
  <c r="AU77" i="1"/>
  <c r="N77" i="1" s="1"/>
  <c r="AW77" i="1"/>
  <c r="AO67" i="1"/>
  <c r="Q48" i="1"/>
  <c r="P48" i="1" s="1"/>
  <c r="AF48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BH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Q42" i="1"/>
  <c r="P42" i="1" s="1"/>
  <c r="AF42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AW58" i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N49" i="1" s="1"/>
  <c r="M22" i="1"/>
  <c r="U40" i="1"/>
  <c r="AO40" i="1"/>
  <c r="M23" i="1"/>
  <c r="AO22" i="1"/>
  <c r="U22" i="1"/>
  <c r="U21" i="1"/>
  <c r="BA57" i="1"/>
  <c r="BC57" i="1" s="1"/>
  <c r="N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AF49" i="1"/>
  <c r="U45" i="1"/>
  <c r="AZ37" i="1"/>
  <c r="BA37" i="1" s="1"/>
  <c r="BC37" i="1" s="1"/>
  <c r="AF36" i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F43" i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BH27" i="1" l="1"/>
  <c r="M37" i="1"/>
  <c r="M45" i="1"/>
  <c r="O39" i="1"/>
  <c r="BH37" i="1"/>
  <c r="O37" i="1" s="1"/>
  <c r="M30" i="1"/>
  <c r="Q30" i="1" s="1"/>
  <c r="P30" i="1" s="1"/>
  <c r="M51" i="1"/>
  <c r="AF51" i="1" s="1"/>
  <c r="O51" i="1"/>
  <c r="M40" i="1"/>
  <c r="Q40" i="1" s="1"/>
  <c r="P40" i="1" s="1"/>
  <c r="BH48" i="1"/>
  <c r="O48" i="1" s="1"/>
  <c r="M57" i="1"/>
  <c r="M34" i="1"/>
  <c r="Q34" i="1" s="1"/>
  <c r="P34" i="1" s="1"/>
  <c r="O34" i="1"/>
  <c r="M26" i="1"/>
  <c r="Q26" i="1" s="1"/>
  <c r="P26" i="1" s="1"/>
  <c r="O26" i="1"/>
  <c r="BH45" i="1"/>
  <c r="O45" i="1" s="1"/>
  <c r="O31" i="1"/>
  <c r="M24" i="1"/>
  <c r="Q24" i="1" s="1"/>
  <c r="P24" i="1" s="1"/>
  <c r="O24" i="1"/>
  <c r="M28" i="1"/>
  <c r="O28" i="1"/>
  <c r="BH25" i="1"/>
  <c r="O25" i="1" s="1"/>
  <c r="O27" i="1"/>
  <c r="O50" i="1"/>
  <c r="O56" i="1"/>
  <c r="N36" i="1"/>
  <c r="M46" i="1"/>
  <c r="O46" i="1"/>
  <c r="M55" i="1"/>
  <c r="Q55" i="1" s="1"/>
  <c r="P55" i="1" s="1"/>
  <c r="BH44" i="1"/>
  <c r="O44" i="1" s="1"/>
  <c r="BH23" i="1"/>
  <c r="O23" i="1" s="1"/>
  <c r="O38" i="1"/>
  <c r="BH43" i="1"/>
  <c r="O43" i="1" s="1"/>
  <c r="M35" i="1"/>
  <c r="Q35" i="1" s="1"/>
  <c r="P35" i="1" s="1"/>
  <c r="O35" i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BH55" i="1"/>
  <c r="O55" i="1" s="1"/>
  <c r="BH40" i="1"/>
  <c r="O40" i="1" s="1"/>
  <c r="BH52" i="1"/>
  <c r="O52" i="1" s="1"/>
  <c r="BH57" i="1"/>
  <c r="O57" i="1" s="1"/>
  <c r="BH46" i="1"/>
  <c r="BH29" i="1"/>
  <c r="O29" i="1" s="1"/>
  <c r="BH49" i="1"/>
  <c r="O49" i="1" s="1"/>
  <c r="BH35" i="1"/>
  <c r="BH47" i="1"/>
  <c r="O47" i="1" s="1"/>
  <c r="BH50" i="1"/>
  <c r="BH41" i="1"/>
  <c r="O41" i="1" s="1"/>
  <c r="BH30" i="1"/>
  <c r="O30" i="1" s="1"/>
  <c r="BH53" i="1"/>
  <c r="O53" i="1" s="1"/>
  <c r="Q86" i="1"/>
  <c r="P86" i="1" s="1"/>
  <c r="AF136" i="1"/>
  <c r="AF55" i="1"/>
  <c r="AK84" i="1"/>
  <c r="AK136" i="1"/>
  <c r="AF120" i="1"/>
  <c r="AK144" i="1"/>
  <c r="AK157" i="1"/>
  <c r="AF84" i="1"/>
  <c r="AF169" i="1"/>
  <c r="AF188" i="1"/>
  <c r="AK86" i="1"/>
  <c r="AK120" i="1"/>
  <c r="AF144" i="1"/>
  <c r="AF150" i="1"/>
  <c r="AK188" i="1"/>
  <c r="AF111" i="1"/>
  <c r="AK156" i="1"/>
  <c r="Q197" i="1"/>
  <c r="P197" i="1" s="1"/>
  <c r="M68" i="1"/>
  <c r="AF34" i="1"/>
  <c r="AF149" i="1"/>
  <c r="AK195" i="1"/>
  <c r="AF35" i="1"/>
  <c r="Q195" i="1"/>
  <c r="P195" i="1" s="1"/>
  <c r="M148" i="1"/>
  <c r="Q148" i="1" s="1"/>
  <c r="P148" i="1" s="1"/>
  <c r="AK169" i="1"/>
  <c r="AK149" i="1"/>
  <c r="AK197" i="1"/>
  <c r="AK141" i="1"/>
  <c r="N55" i="1"/>
  <c r="AF192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K196" i="1"/>
  <c r="Q109" i="1"/>
  <c r="P109" i="1" s="1"/>
  <c r="AF109" i="1"/>
  <c r="AK109" i="1"/>
  <c r="AK173" i="1"/>
  <c r="M164" i="1"/>
  <c r="AK96" i="1"/>
  <c r="Q96" i="1"/>
  <c r="P96" i="1" s="1"/>
  <c r="AF180" i="1"/>
  <c r="M89" i="1"/>
  <c r="M81" i="1"/>
  <c r="AK10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Q165" i="1"/>
  <c r="P165" i="1" s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F58" i="1"/>
  <c r="AF101" i="1"/>
  <c r="AK65" i="1"/>
  <c r="Q199" i="1"/>
  <c r="P199" i="1" s="1"/>
  <c r="AK199" i="1"/>
  <c r="AF63" i="1"/>
  <c r="AF124" i="1"/>
  <c r="AF181" i="1"/>
  <c r="AK133" i="1"/>
  <c r="N43" i="1"/>
  <c r="N41" i="1"/>
  <c r="Q37" i="1"/>
  <c r="P37" i="1" s="1"/>
  <c r="AF37" i="1"/>
  <c r="AF57" i="1"/>
  <c r="Q57" i="1"/>
  <c r="P57" i="1" s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Q66" i="1"/>
  <c r="P66" i="1" s="1"/>
  <c r="AF66" i="1"/>
  <c r="AK66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Q28" i="1"/>
  <c r="P28" i="1" s="1"/>
  <c r="AF28" i="1"/>
  <c r="M56" i="1"/>
  <c r="M77" i="1"/>
  <c r="M50" i="1"/>
  <c r="Q112" i="1"/>
  <c r="P112" i="1" s="1"/>
  <c r="AK112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AK60" i="1"/>
  <c r="M79" i="1"/>
  <c r="AF19" i="1"/>
  <c r="AK63" i="1"/>
  <c r="Q95" i="1"/>
  <c r="P95" i="1" s="1"/>
  <c r="AF95" i="1"/>
  <c r="AK95" i="1"/>
  <c r="AF112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51" i="1"/>
  <c r="P151" i="1" s="1"/>
  <c r="AF151" i="1"/>
  <c r="Q187" i="1"/>
  <c r="P187" i="1" s="1"/>
  <c r="AK187" i="1"/>
  <c r="Q23" i="1"/>
  <c r="P23" i="1" s="1"/>
  <c r="AF23" i="1"/>
  <c r="Q32" i="1"/>
  <c r="P32" i="1" s="1"/>
  <c r="AF32" i="1"/>
  <c r="M31" i="1"/>
  <c r="AF60" i="1"/>
  <c r="M67" i="1"/>
  <c r="M88" i="1"/>
  <c r="Q58" i="1"/>
  <c r="P58" i="1" s="1"/>
  <c r="AK58" i="1"/>
  <c r="M122" i="1"/>
  <c r="M62" i="1"/>
  <c r="M142" i="1"/>
  <c r="AK184" i="1"/>
  <c r="Q184" i="1"/>
  <c r="P184" i="1" s="1"/>
  <c r="AF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Q73" i="1"/>
  <c r="P73" i="1" s="1"/>
  <c r="AK73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Q134" i="1"/>
  <c r="P134" i="1" s="1"/>
  <c r="AF134" i="1"/>
  <c r="Q61" i="1"/>
  <c r="P61" i="1" s="1"/>
  <c r="AK61" i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AK134" i="1"/>
  <c r="AF46" i="1" l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/>
  <c r="P14" i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P14" i="1" l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K7" i="1" s="1"/>
  <c r="J7" i="1" s="1"/>
  <c r="I7" i="1" s="1"/>
  <c r="H7" i="1" s="1"/>
  <c r="Y14" i="1"/>
  <c r="Z14" i="1" s="1"/>
  <c r="J6" i="1" l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V74" i="1"/>
  <c r="W74" i="1" s="1"/>
  <c r="T74" i="1"/>
  <c r="AN74" i="1" s="1"/>
  <c r="Y69" i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<sst xmlns="http://schemas.openxmlformats.org/spreadsheetml/2006/main" count="517" uniqueCount="245">
  <si>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</si>
  <si>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</si>
  <si>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</si>
  <si>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</si>
  <si>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</si>
  <si>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</si>
  <si>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</si>
  <si>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</si>
  <si>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</si>
  <si>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</si>
  <si>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</si>
  <si>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</si>
  <si>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</si>
  <si>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</si>
  <si>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</si>
  <si>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</si>
  <si>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</si>
  <si>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</si>
  <si>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</si>
  <si>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</si>
  <si>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</si>
  <si>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</si>
  <si>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</si>
  <si>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</si>
  <si>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</si>
  <si>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</si>
  <si>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</si>
  <si>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</si>
  <si>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</si>
  <si>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</si>
  <si>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</si>
  <si>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</si>
  <si>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</si>
  <si>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</si>
  <si>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</si>
  <si>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</si>
  <si>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</si>
  <si>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</si>
  <si>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</si>
  <si>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</si>
  <si>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</si>
  <si>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</si>
  <si>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</si>
  <si>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</si>
  <si>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</si>
  <si>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</si>
  <si>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</si>
  <si>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</si>
  <si>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</si>
  <si>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</si>
  <si>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</si>
  <si>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</si>
  <si>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</si>
  <si>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</si>
  <si>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</si>
  <si>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</si>
  <si>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</si>
  <si>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</si>
  <si>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</si>
  <si>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</si>
  <si>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</si>
  <si>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</si>
  <si>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</si>
  <si>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</si>
  <si>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</si>
  <si>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</si>
  <si>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</si>
  <si>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</si>
  <si>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</si>
  <si>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</si>
  <si>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</si>
  <si>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</si>
  <si>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</si>
  <si>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</si>
  <si>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</si>
  <si>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</si>
  <si>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</si>
  <si>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</si>
  <si>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</si>
  <si>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</si>
  <si>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</si>
  <si>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</si>
  <si>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</si>
  <si>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</si>
  <si>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</si>
  <si>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</si>
  <si>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</si>
  <si>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</si>
  <si>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</si>
  <si>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</si>
  <si>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</si>
  <si>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</si>
  <si>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</si>
  <si>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</si>
  <si>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</si>
  <si>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</si>
  <si>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</si>
  <si>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</si>
  <si>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</si>
  <si>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</si>
  <si>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</si>
  <si>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</si>
  <si>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</si>
  <si>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</si>
  <si>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</si>
  <si>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</si>
  <si>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</si>
  <si>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</si>
  <si>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</si>
  <si>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</si>
  <si>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</si>
  <si>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</si>
  <si>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</si>
  <si>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</si>
  <si>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</si>
  <si>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</si>
  <si>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</si>
  <si>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</si>
  <si>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</si>
  <si>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</si>
  <si>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</si>
  <si>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</si>
  <si>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</si>
  <si>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</si>
  <si>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</si>
  <si>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</si>
  <si>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</si>
  <si>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</si>
  <si>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</si>
  <si>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</si>
  <si>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</si>
  <si>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</si>
  <si>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</si>
  <si>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</si>
  <si>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</si>
  <si>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</si>
  <si>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</si>
  <si>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</si>
  <si>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</si>
  <si>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</si>
  <si>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</si>
  <si>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</si>
  <si>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</si>
  <si>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</si>
  <si>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</si>
  <si>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</si>
  <si>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</si>
  <si>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</si>
  <si>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</si>
  <si>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</si>
  <si>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</si>
  <si>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</si>
  <si>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</si>
  <si>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</si>
  <si>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</si>
  <si>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</si>
  <si>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</si>
  <si>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</si>
  <si>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</si>
  <si>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</si>
  <si>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</si>
  <si>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</si>
  <si>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</si>
  <si>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</si>
  <si>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</si>
  <si>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</si>
  <si>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</si>
  <si>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</si>
  <si>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</si>
  <si>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</si>
  <si>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</si>
  <si>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</si>
  <si>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</si>
  <si>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</si>
  <si>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</si>
  <si>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</si>
  <si>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</si>
  <si>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</si>
  <si>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</si>
  <si>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</si>
  <si>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</si>
  <si>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</si>
  <si>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</si>
  <si>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</si>
  <si>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</si>
  <si>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</si>
  <si>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</si>
  <si>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</si>
  <si>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</si>
  <si>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</si>
  <si>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</si>
  <si>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</si>
  <si>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</si>
  <si>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</si>
  <si>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</si>
  <si>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</si>
  <si>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</si>
  <si>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</si>
  <si>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</si>
  <si>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</si>
  <si>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</si>
  <si>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3253_DOBRA</t>
  </si>
  <si>
    <t>1550ES-P1</t>
  </si>
  <si>
    <t>1550ES-P19</t>
  </si>
  <si>
    <t>1550ES-P20</t>
  </si>
  <si>
    <t>1550ES-P21</t>
  </si>
  <si>
    <t>1550ES-P22</t>
  </si>
  <si>
    <t>1550ES-P23</t>
  </si>
  <si>
    <t>1550ES-P4</t>
  </si>
  <si>
    <t>1550ES-P5</t>
  </si>
  <si>
    <t>1550GC-P26</t>
  </si>
  <si>
    <t>1550GC-P27</t>
  </si>
  <si>
    <t>1550GC-P28</t>
  </si>
  <si>
    <t>1550GC-P29</t>
  </si>
  <si>
    <t>1550GC-P30</t>
  </si>
  <si>
    <t>1550MF-P10</t>
  </si>
  <si>
    <t>1550MF-P11</t>
  </si>
  <si>
    <t>1550MF-P6</t>
  </si>
  <si>
    <t>1550MF-P7</t>
  </si>
  <si>
    <t>1550MF-P8</t>
  </si>
  <si>
    <t>1550MF-P9</t>
  </si>
  <si>
    <t>1550MF4</t>
  </si>
  <si>
    <t>1550MF5</t>
  </si>
  <si>
    <t>1550MF6</t>
  </si>
  <si>
    <t>1550VG-P13</t>
  </si>
  <si>
    <t>1550VG-P14</t>
  </si>
  <si>
    <t>1550VG-P15</t>
  </si>
  <si>
    <t>1550VG-P16</t>
  </si>
  <si>
    <t>1550VG-P17</t>
  </si>
  <si>
    <t>1550VG25</t>
  </si>
  <si>
    <t>1550VG26</t>
  </si>
  <si>
    <t>1550VG27</t>
  </si>
  <si>
    <t>1550VG28</t>
  </si>
  <si>
    <t>1550VG29</t>
  </si>
  <si>
    <t>1550VG30</t>
  </si>
  <si>
    <t>1550VG31</t>
  </si>
  <si>
    <t>1550VG32</t>
  </si>
  <si>
    <t>1550ES-P24</t>
  </si>
  <si>
    <t>1550ES-P25</t>
  </si>
  <si>
    <t>1550ES-P26</t>
  </si>
  <si>
    <t>1550ES-P27</t>
  </si>
  <si>
    <t>1550GC-P22</t>
  </si>
  <si>
    <t>1550GC-P23</t>
  </si>
  <si>
    <t>1550GC-P24</t>
  </si>
  <si>
    <t>1550GC-P25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</si>
</sst>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3" fillId="19" borderId="0" xfId="0" applyFont="1" applyFill="1" applyAlignment="1">
      <alignment horizontal="right" vertic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zoomScaleNormal="100" workbookViewId="0">
      <selection activeCell="I28" sqref="I28"/>
    </sheetView>
  </sheetViews>
  <sheetFormatPr defaultRowHeight="16.2" x14ac:dyDescent="0.35"/>
  <cols>
    <col min="1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0.554687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40" t="s">
        <v>167</v>
      </c>
      <c r="G1" s="241"/>
      <c r="H1" s="242"/>
      <c r="M1" s="228" t="s">
        <v>199</v>
      </c>
      <c r="AZ1" s="1" t="s">
        <v>193</v>
      </c>
    </row>
    <row r="2" spans="1:60" ht="16.8" thickBot="1" x14ac:dyDescent="0.4">
      <c r="A2" s="84">
        <v>0.12</v>
      </c>
      <c r="B2" s="84">
        <v>0.02</v>
      </c>
      <c r="C2" s="84">
        <v>0.26</v>
      </c>
      <c r="D2" s="108">
        <v>10.5</v>
      </c>
      <c r="E2" s="111" t="s">
        <v>92</v>
      </c>
      <c r="F2" s="234" t="s">
        <v>168</v>
      </c>
      <c r="G2" s="235"/>
      <c r="H2" s="113">
        <f>SUM(M14:M200)</f>
        <v>552.20240253499992</v>
      </c>
      <c r="M2" s="229" t="s">
        <v>200</v>
      </c>
    </row>
    <row r="3" spans="1:60" ht="16.8" thickBot="1" x14ac:dyDescent="0.4">
      <c r="F3" s="238" t="s">
        <v>169</v>
      </c>
      <c r="G3" s="239"/>
      <c r="H3" s="112">
        <f>SUM(Q14:Q19)</f>
        <v>1869.42</v>
      </c>
    </row>
    <row r="4" spans="1:60" ht="16.2" customHeight="1" thickBot="1" x14ac:dyDescent="0.4">
      <c r="F4" s="234" t="s">
        <v>170</v>
      </c>
      <c r="G4" s="235"/>
      <c r="H4" s="114">
        <f>D2</f>
        <v>10.5</v>
      </c>
    </row>
    <row r="5" spans="1:60" ht="16.2" customHeight="1" thickBot="1" x14ac:dyDescent="0.4">
      <c r="A5" s="194"/>
      <c r="F5" s="243" t="s">
        <v>171</v>
      </c>
      <c r="G5" s="244"/>
      <c r="H5" s="115">
        <f>IFERROR(SUMPRODUCT((Q14:Q200&gt;0)*(AI14:AI200)*(Q14:Q200))/SUMPRODUCT((Q14:Q200&gt;0)*(Q14:Q200)),0)</f>
        <v>0.18638749550677253</v>
      </c>
      <c r="I5" s="199"/>
      <c r="J5" s="199"/>
      <c r="K5" s="199"/>
      <c r="L5" s="199"/>
      <c r="M5" s="200"/>
    </row>
    <row r="6" spans="1:60" ht="16.2" customHeight="1" thickBot="1" x14ac:dyDescent="0.4">
      <c r="F6" s="234" t="s">
        <v>183</v>
      </c>
      <c r="G6" s="235"/>
      <c r="H6" s="196">
        <f>I6</f>
        <v>9.2437411553805401E-2</v>
      </c>
      <c r="I6" s="202">
        <f>J6/1440</f>
        <v>9.2437411553805401E-2</v>
      </c>
      <c r="J6" s="203">
        <f>IF(M2="ESTUDO",SUM(BH14:BH200),SUM(N14:N200))</f>
        <v>133.10987263747978</v>
      </c>
      <c r="K6" s="204"/>
      <c r="L6" s="199"/>
      <c r="M6" s="200"/>
    </row>
    <row r="7" spans="1:60" ht="16.2" customHeight="1" thickBot="1" x14ac:dyDescent="0.4">
      <c r="F7" s="238" t="s">
        <v>184</v>
      </c>
      <c r="G7" s="239"/>
      <c r="H7" s="195">
        <f>I7</f>
        <v>0.48383787451676835</v>
      </c>
      <c r="I7" s="202">
        <f>J7/1440</f>
        <v>0.48383787451676835</v>
      </c>
      <c r="J7" s="203">
        <f>K7+AUXILIAR!AK3</f>
        <v>696.7265393041464</v>
      </c>
      <c r="K7" s="203">
        <f>SUM(O14:O200)</f>
        <v>496.72653930414646</v>
      </c>
      <c r="L7" s="199"/>
      <c r="M7" s="200"/>
    </row>
    <row r="8" spans="1:60" ht="16.2" customHeight="1" x14ac:dyDescent="0.35">
      <c r="A8" s="236" t="s">
        <v>162</v>
      </c>
      <c r="B8" s="236"/>
      <c r="C8" s="236"/>
      <c r="D8" s="237" t="s">
        <v>163</v>
      </c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36"/>
      <c r="B9" s="236"/>
      <c r="C9" s="236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3" t="s">
        <v>165</v>
      </c>
      <c r="R9" s="233"/>
      <c r="S9" s="230">
        <v>46026</v>
      </c>
      <c r="T9" s="231"/>
      <c r="U9" s="109"/>
      <c r="V9" s="109"/>
      <c r="W9" s="109"/>
      <c r="X9" s="109"/>
    </row>
    <row r="10" spans="1:60" ht="16.2" customHeight="1" x14ac:dyDescent="0.35">
      <c r="A10" s="236"/>
      <c r="B10" s="236"/>
      <c r="C10" s="236"/>
      <c r="D10" s="232" t="s">
        <v>164</v>
      </c>
      <c r="E10" s="232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3" t="s">
        <v>166</v>
      </c>
      <c r="R10" s="233"/>
      <c r="S10" s="231">
        <v>2807</v>
      </c>
      <c r="T10" s="231"/>
      <c r="U10" s="109"/>
      <c r="V10" s="109"/>
      <c r="W10" s="109"/>
      <c r="X10" s="109"/>
    </row>
    <row r="11" spans="1:60" s="83" customFormat="1" ht="13.8" customHeight="1" x14ac:dyDescent="0.3">
      <c r="A11" s="236"/>
      <c r="B11" s="236"/>
      <c r="C11" s="236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 t="s">
        <v>201</v>
      </c>
      <c r="B14" s="205" t="s">
        <v>202</v>
      </c>
      <c r="C14" s="205">
        <v>18</v>
      </c>
      <c r="D14" s="205" t="s">
        <v>44</v>
      </c>
      <c r="E14" s="206">
        <v>0</v>
      </c>
      <c r="F14" s="206"/>
      <c r="G14" s="206">
        <v>3</v>
      </c>
      <c r="H14" s="207">
        <v>1100</v>
      </c>
      <c r="I14" s="207">
        <v>368</v>
      </c>
      <c r="J14" s="205"/>
      <c r="K14" s="208">
        <v>1200</v>
      </c>
      <c r="L14" s="209">
        <f t="shared" ref="L14:L45" si="0">IFERROR((AS14*G14*7.85)/1000000,"")</f>
        <v>9.5330399999999997</v>
      </c>
      <c r="M14" s="210">
        <f t="shared" ref="M14:M45" si="1">IFERROR(L14*C14,"")</f>
        <v>171.59472</v>
      </c>
      <c r="N14" s="211">
        <f t="shared" ref="N14:N45" si="2">IFERROR((AU14/AX14)+BC14,0)</f>
        <v>4.1449411764705886</v>
      </c>
      <c r="O14" s="211">
        <f>IF(L14="",0,IFERROR(IF($M$2="ESTUDO",BH14,N14)+INDEX(AUXILIAR!$AO$3:$AO$8,MATCH(L14,{0;2;5;10;20;50},1))*1440,IF(M14="ESTUDO",BH14,N14)))</f>
        <v>16.074921568627449</v>
      </c>
      <c r="P14" s="212">
        <f t="shared" ref="P14:P45" si="3">IFERROR(Q14/C14,0)</f>
        <v>100.09416666666667</v>
      </c>
      <c r="Q14" s="212">
        <f t="shared" ref="Q14:Q45" si="4">IFERROR($D$2 * ROUND(M14, 2), 0)</f>
        <v>1801.6949999999999</v>
      </c>
      <c r="R14" s="213" t="s">
        <v>0</v>
      </c>
      <c r="S14" s="214">
        <f t="shared" ref="S14:S45" si="5">IF(A14="",0,$D$2)</f>
        <v>10.5</v>
      </c>
      <c r="T14" s="212">
        <f>((AM14/(1+AUXILIAR!$BJ$4))-((AM14/(1+AUXILIAR!$BJ$4))*AUXILIAR!$BK$4))-(((AM14/(1+AUXILIAR!$BJ$4))-((AM14/(1+AUXILIAR!$BJ$4))*AUXILIAR!$BK$4))*((AUXILIAR!$BL$4+AUXILIAR!$BM$4)))</f>
        <v>3.867312348668281</v>
      </c>
      <c r="U14" s="212">
        <f>((S14/(1+AUXILIAR!$BJ$7))-((S14/(1+AUXILIAR!$BJ$7))*AUXILIAR!$BK$7))-(((S14/(1+AUXILIAR!$BJ$7))-((S14/(1+AUXILIAR!$BJ$7))*AUXILIAR!$BK$7))*((AUXILIAR!$BL$7+AUXILIAR!$BM$7)))</f>
        <v>8.3853000000000009</v>
      </c>
      <c r="V14" s="215">
        <f>AM14-(AM14/(1+AUXILIAR!$BJ$4))</f>
        <v>0.15738498789346256</v>
      </c>
      <c r="W14" s="216">
        <f>(AM14-V14)*AUXILIAR!$BK$4</f>
        <v>0.58111380145278446</v>
      </c>
      <c r="X14" s="216">
        <f>(AM14-V14-W14)*(AUXILIAR!$BL$4+AUXILIAR!$BM$4)</f>
        <v>0.39418886198547215</v>
      </c>
      <c r="Y14" s="216">
        <f>X14-(X14/(1+AUXILIAR!$BJ$7))</f>
        <v>0</v>
      </c>
      <c r="Z14" s="216">
        <f>(S14-Y14)*AUXILIAR!$BK$7</f>
        <v>1.26</v>
      </c>
      <c r="AA14" s="216">
        <f>(S14-Y14-Z14)*(AUXILIAR!$BL$7+AUXILIAR!$BM$7)</f>
        <v>0.85470000000000002</v>
      </c>
      <c r="AB14" s="217">
        <f t="shared" ref="AB14:AB45" si="6">V14-Y14</f>
        <v>0.15738498789346256</v>
      </c>
      <c r="AC14" s="217">
        <f t="shared" ref="AC14:AC45" si="7">W14-Z14</f>
        <v>-0.67888619854721555</v>
      </c>
      <c r="AD14" s="217">
        <f t="shared" ref="AD14:AD45" si="8">X14-AA14</f>
        <v>-0.46051113801452787</v>
      </c>
      <c r="AE14" s="217">
        <f t="shared" ref="AE14:AE45" si="9">AB14+AC14+AD14</f>
        <v>-0.9820123486682808</v>
      </c>
      <c r="AF14" s="217">
        <f t="shared" ref="AF14:AF45" si="10">IFERROR(S14*M14,0)</f>
        <v>1801.7445599999999</v>
      </c>
      <c r="AG14" s="216">
        <f t="shared" ref="AG14:AG45" si="11">IFERROR((S14-AM14+AE14-AO14-AP14-AQ14-AL14),0)</f>
        <v>2.1345795263317191</v>
      </c>
      <c r="AH14" s="212">
        <f t="shared" ref="AH14:AH45" si="12">IFERROR(AG14*M14,0)</f>
        <v>366.28257613862394</v>
      </c>
      <c r="AI14" s="218">
        <f t="shared" ref="AI14:AI45" si="13">IFERROR(AG14/S14,0)</f>
        <v>0.20329328822206849</v>
      </c>
      <c r="AJ14" s="212">
        <f>IF(G14="",0,(AM14+AL14+AQ14+AP14+AO14+AN14))</f>
        <v>11.90139577633172</v>
      </c>
      <c r="AK14" s="212">
        <f t="shared" ref="AK14:AK45" si="14">IFERROR(AJ14*M14,0)</f>
        <v>2042.216675848824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5</v>
      </c>
      <c r="AN14" s="212">
        <f t="shared" ref="AN14:AN45" si="15">U14-T14</f>
        <v>4.5179876513317199</v>
      </c>
      <c r="AO14" s="212">
        <f t="shared" ref="AO14:AO45" si="16">IFERROR(S14*$B$2,0)</f>
        <v>0.21</v>
      </c>
      <c r="AP14" s="212">
        <f t="shared" ref="AP14:AP45" si="17">IF(G14="",0,$C$2)</f>
        <v>0.26</v>
      </c>
      <c r="AQ14" s="212">
        <f>IFERROR(INDEX(AUXILIAR!$AG$3:$AG$28,MATCH(G14,AUXILIAR!$AH$3:$AH$28,1))*AM14,0)</f>
        <v>0.9134081249999999</v>
      </c>
      <c r="AR14" s="219">
        <f>IF(R14="GUILHOTINA",IFERROR(VLOOKUP(G14,AUXILIAR!$Q:$S,3,FALSE),""),IF(R14="LASER",IFERROR(VLOOKUP(G14,AUXILIAR!$E:$I,3,FALSE),""),IF(R14="PLASMA",IFERROR(VLOOKUP(G14,AUXILIAR!$K:$O,3,FALSE),""),"")))</f>
        <v>12750</v>
      </c>
      <c r="AS14" s="220">
        <f t="shared" ref="AS14:AS45" si="18">IF(OR(D14="Q",D14="R"),(H14*I14),IF(D14="T",(H14*I14)/2,IF(D14="TP",((H14+I14)*J14)/2,IF(D14="C",PI()*((H14/2)^2),""))))</f>
        <v>404800</v>
      </c>
      <c r="AT14" s="220">
        <f t="shared" ref="AT14:AT45" si="19">IFERROR(AS14*C14,"")</f>
        <v>7286400</v>
      </c>
      <c r="AU14" s="220">
        <f t="shared" ref="AU14:AU45" si="20">IFERROR(AV14*C14,"")</f>
        <v>52848</v>
      </c>
      <c r="AV14" s="220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>2936</v>
      </c>
      <c r="AW14" s="220">
        <f t="shared" ref="AW14:AW45" si="22">IFERROR(AV14*C14,"")</f>
        <v>52848</v>
      </c>
      <c r="AX14" s="220">
        <f>IFERROR(
IF($R14="LASER",
   VLOOKUP($G14,AUXILIAR!$E$3:$G$27,3,FALSE),
IF($R14="PLASMA",
   VLOOKUP($G14,AUXILIAR!$K$6:$M$28,3,FALSE),
0)),
0)</f>
        <v>12750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0.75</v>
      </c>
      <c r="BE14" s="220">
        <f>AX14*BD14</f>
        <v>9562.5</v>
      </c>
      <c r="BF14" s="211">
        <f>(
1+E14
)*
IF(G14&lt;=1.5,0.6/60,
IF(G14&lt;=3,0.9/60,
IF(G14&lt;=6.35,1.5/60,
IF(G14&lt;=9.53,2.2/60,
IF(G14&lt;=12.7,3/60,4/60)))))</f>
        <v>1.5000000000000001E-2</v>
      </c>
      <c r="BG14" s="211">
        <f>IF(AV14&lt;=800,0.8/60,IF(AV14&lt;=2000,1.2/60,2/60))</f>
        <v>3.3333333333333333E-2</v>
      </c>
      <c r="BH14" s="221">
        <f>IFERROR((AU14/BE14)+BF14+BG14+BC14,0)</f>
        <v>5.5749215686274507</v>
      </c>
    </row>
    <row r="15" spans="1:60" x14ac:dyDescent="0.35">
      <c r="A15" s="85">
        <v>3253</v>
      </c>
      <c r="B15" s="85" t="s">
        <v>203</v>
      </c>
      <c r="C15" s="85">
        <v>6</v>
      </c>
      <c r="D15" s="85" t="s">
        <v>44</v>
      </c>
      <c r="E15" s="86">
        <v>0</v>
      </c>
      <c r="F15" s="86"/>
      <c r="G15" s="206">
        <v>4.75</v>
      </c>
      <c r="H15" s="87">
        <v>187</v>
      </c>
      <c r="I15" s="87">
        <v>45</v>
      </c>
      <c r="J15" s="85"/>
      <c r="K15" s="99">
        <v>1200</v>
      </c>
      <c r="L15" s="90">
        <f t="shared" si="0"/>
        <v>0.31377431249999999</v>
      </c>
      <c r="M15" s="198">
        <f t="shared" si="1"/>
        <v>1.8826458749999999</v>
      </c>
      <c r="N15" s="91">
        <f t="shared" si="2"/>
        <v>0.38532871972318339</v>
      </c>
      <c r="O15" s="211">
        <f>IF(L15="",0,IFERROR(IF($M$2="ESTUDO",BH15,N15)+INDEX(AUXILIAR!$AO$3:$AO$8,MATCH(L15,{0;2;5;10;20;50},1))*1440,IF(M15="ESTUDO",BH15,N15)))</f>
        <v>6.7279527104959627</v>
      </c>
      <c r="P15" s="100">
        <f t="shared" si="3"/>
        <v>3.2899999999999996</v>
      </c>
      <c r="Q15" s="100">
        <f t="shared" si="4"/>
        <v>19.739999999999998</v>
      </c>
      <c r="R15" s="92" t="s">
        <v>0</v>
      </c>
      <c r="S15" s="88">
        <f t="shared" si="5"/>
        <v>10.5</v>
      </c>
      <c r="T15" s="100">
        <f>((AM15/(1+AUXILIAR!$BJ$4))-((AM15/(1+AUXILIAR!$BJ$4))*AUXILIAR!$BK$4))-(((AM15/(1+AUXILIAR!$BJ$4))-((AM15/(1+AUXILIAR!$BJ$4))*AUXILIAR!$BK$4))*((AUXILIAR!$BL$4+AUXILIAR!$BM$4)))</f>
        <v>3.867312348668281</v>
      </c>
      <c r="U15" s="100">
        <f>((S15/(1+AUXILIAR!$BJ$7))-((S15/(1+AUXILIAR!$BJ$7))*AUXILIAR!$BK$7))-(((S15/(1+AUXILIAR!$BJ$7))-((S15/(1+AUXILIAR!$BJ$7))*AUXILIAR!$BK$7))*((AUXILIAR!$BL$7+AUXILIAR!$BM$7)))</f>
        <v>8.3853000000000009</v>
      </c>
      <c r="V15" s="101">
        <f>AM15-(AM15/(1+AUXILIAR!$BJ$4))</f>
        <v>0.15738498789346256</v>
      </c>
      <c r="W15" s="102">
        <f>(AM15-V15)*AUXILIAR!$BK$4</f>
        <v>0.58111380145278446</v>
      </c>
      <c r="X15" s="102">
        <f>(AM15-V15-W15)*(AUXILIAR!$BL$4+AUXILIAR!$BM$4)</f>
        <v>0.39418886198547215</v>
      </c>
      <c r="Y15" s="102">
        <f>X15-(X15/(1+AUXILIAR!$BJ$7))</f>
        <v>0</v>
      </c>
      <c r="Z15" s="102">
        <f>(S15-Y15)*AUXILIAR!$BK$7</f>
        <v>1.26</v>
      </c>
      <c r="AA15" s="102">
        <f>(S15-Y15-Z15)*(AUXILIAR!$BL$7+AUXILIAR!$BM$7)</f>
        <v>0.85470000000000002</v>
      </c>
      <c r="AB15" s="103">
        <f t="shared" si="6"/>
        <v>0.15738498789346256</v>
      </c>
      <c r="AC15" s="103">
        <f t="shared" si="7"/>
        <v>-0.67888619854721555</v>
      </c>
      <c r="AD15" s="103">
        <f t="shared" si="8"/>
        <v>-0.46051113801452787</v>
      </c>
      <c r="AE15" s="103">
        <f t="shared" si="9"/>
        <v>-0.9820123486682808</v>
      </c>
      <c r="AF15" s="103">
        <f t="shared" si="10"/>
        <v>19.767781687499998</v>
      </c>
      <c r="AG15" s="102">
        <f t="shared" si="11"/>
        <v>3.0479876513317192</v>
      </c>
      <c r="AH15" s="100">
        <f t="shared" si="12"/>
        <v>5.7382813788305995</v>
      </c>
      <c r="AI15" s="104">
        <f t="shared" si="13"/>
        <v>0.29028453822206851</v>
      </c>
      <c r="AJ15" s="100">
        <f t="shared" ref="AJ15:AJ45" si="29">IF(G15="",0,(AM15+AL15+AQ15+AP15+AO15+AN15))</f>
        <v>10.98798765133172</v>
      </c>
      <c r="AK15" s="100">
        <f t="shared" si="14"/>
        <v>20.686489626330598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5</v>
      </c>
      <c r="AN15" s="100">
        <f t="shared" si="15"/>
        <v>4.5179876513317199</v>
      </c>
      <c r="AO15" s="100">
        <f t="shared" si="16"/>
        <v>0.21</v>
      </c>
      <c r="AP15" s="100">
        <f t="shared" si="17"/>
        <v>0.26</v>
      </c>
      <c r="AQ15" s="212">
        <f>IFERROR(INDEX(AUXILIAR!$AG$3:$AG$28,MATCH(G15,AUXILIAR!$AH$3:$AH$28,1))*AM15,0)</f>
        <v>0</v>
      </c>
      <c r="AR15" s="105">
        <f>IF(R15="GUILHOTINA",IFERROR(VLOOKUP(G15,AUXILIAR!$Q:$S,3,FALSE),""),IF(R15="LASER",IFERROR(VLOOKUP(G15,AUXILIAR!$E:$I,3,FALSE),""),IF(R15="PLASMA",IFERROR(VLOOKUP(G15,AUXILIAR!$K:$O,3,FALSE),""),"")))</f>
        <v>7225</v>
      </c>
      <c r="AS15" s="89">
        <f t="shared" si="18"/>
        <v>8415</v>
      </c>
      <c r="AT15" s="89">
        <f t="shared" si="19"/>
        <v>50490</v>
      </c>
      <c r="AU15" s="89">
        <f t="shared" si="20"/>
        <v>2784</v>
      </c>
      <c r="AV15" s="89">
        <f t="shared" si="21"/>
        <v>464</v>
      </c>
      <c r="AW15" s="89">
        <f t="shared" si="22"/>
        <v>2784</v>
      </c>
      <c r="AX15" s="89">
        <f>IFERROR(
IF($R15="LASER",
   VLOOKUP($G15,AUXILIAR!$E$3:$G$27,3,FALSE),
IF($R15="PLASMA",
   VLOOKUP($G15,AUXILIAR!$K$6:$M$28,3,FALSE),
0)),
0)</f>
        <v>7225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0.45</v>
      </c>
      <c r="BE15" s="89">
        <f t="shared" ref="BE15:BE78" si="30">AX15*BD15</f>
        <v>3251.25</v>
      </c>
      <c r="BF15" s="91">
        <f t="shared" ref="BF15:BF78" si="31">(
1+E15
)*
IF(G15&lt;=1.5,0.6/60,
IF(G15&lt;=3,0.9/60,
IF(G15&lt;=6.35,1.5/60,
IF(G15&lt;=9.53,2.2/60,
IF(G15&lt;=12.7,3/60,4/60)))))</f>
        <v>2.5000000000000001E-2</v>
      </c>
      <c r="BG15" s="91">
        <f t="shared" ref="BG15:BG78" si="32">IF(AV15&lt;=800,0.8/60,IF(AV15&lt;=2000,1.2/60,2/60))</f>
        <v>1.3333333333333334E-2</v>
      </c>
      <c r="BH15" s="201">
        <f t="shared" ref="BH15:BH78" si="33">IFERROR((AU15/BE15)+BF15+BG15+BC15,0)</f>
        <v>0.89461937716262974</v>
      </c>
    </row>
    <row r="16" spans="1:60" x14ac:dyDescent="0.35">
      <c r="A16" s="85">
        <v>3253</v>
      </c>
      <c r="B16" s="85" t="s">
        <v>204</v>
      </c>
      <c r="C16" s="85">
        <v>2</v>
      </c>
      <c r="D16" s="85" t="s">
        <v>44</v>
      </c>
      <c r="E16" s="86">
        <v>4</v>
      </c>
      <c r="F16" s="86">
        <v>15</v>
      </c>
      <c r="G16" s="206">
        <v>6.35</v>
      </c>
      <c r="H16" s="87">
        <v>110</v>
      </c>
      <c r="I16" s="87">
        <v>100</v>
      </c>
      <c r="J16" s="85"/>
      <c r="K16" s="99">
        <v>1200</v>
      </c>
      <c r="L16" s="90">
        <f t="shared" si="0"/>
        <v>0.54832250000000005</v>
      </c>
      <c r="M16" s="198">
        <f t="shared" si="1"/>
        <v>1.0966450000000001</v>
      </c>
      <c r="N16" s="91">
        <f t="shared" si="2"/>
        <v>1.3925906379079986</v>
      </c>
      <c r="O16" s="211">
        <f>IF(L16="",0,IFERROR(IF($M$2="ESTUDO",BH16,N16)+INDEX(AUXILIAR!$AO$3:$AO$8,MATCH(L16,{0;2;5;10;20;50},1))*1440,IF(M16="ESTUDO",BH16,N16)))</f>
        <v>8.1385646446229352</v>
      </c>
      <c r="P16" s="100">
        <f t="shared" si="3"/>
        <v>5.7750000000000004</v>
      </c>
      <c r="Q16" s="100">
        <f t="shared" si="4"/>
        <v>11.55</v>
      </c>
      <c r="R16" s="92" t="s">
        <v>0</v>
      </c>
      <c r="S16" s="88">
        <f t="shared" si="5"/>
        <v>10.5</v>
      </c>
      <c r="T16" s="100">
        <f>((AM16/(1+AUXILIAR!$BJ$4))-((AM16/(1+AUXILIAR!$BJ$4))*AUXILIAR!$BK$4))-(((AM16/(1+AUXILIAR!$BJ$4))-((AM16/(1+AUXILIAR!$BJ$4))*AUXILIAR!$BK$4))*((AUXILIAR!$BL$4+AUXILIAR!$BM$4)))</f>
        <v>3.867312348668281</v>
      </c>
      <c r="U16" s="100">
        <f>((S16/(1+AUXILIAR!$BJ$7))-((S16/(1+AUXILIAR!$BJ$7))*AUXILIAR!$BK$7))-(((S16/(1+AUXILIAR!$BJ$7))-((S16/(1+AUXILIAR!$BJ$7))*AUXILIAR!$BK$7))*((AUXILIAR!$BL$7+AUXILIAR!$BM$7)))</f>
        <v>8.3853000000000009</v>
      </c>
      <c r="V16" s="101">
        <f>AM16-(AM16/(1+AUXILIAR!$BJ$4))</f>
        <v>0.15738498789346256</v>
      </c>
      <c r="W16" s="102">
        <f>(AM16-V16)*AUXILIAR!$BK$4</f>
        <v>0.58111380145278446</v>
      </c>
      <c r="X16" s="102">
        <f>(AM16-V16-W16)*(AUXILIAR!$BL$4+AUXILIAR!$BM$4)</f>
        <v>0.39418886198547215</v>
      </c>
      <c r="Y16" s="102">
        <f>X16-(X16/(1+AUXILIAR!$BJ$7))</f>
        <v>0</v>
      </c>
      <c r="Z16" s="102">
        <f>(S16-Y16)*AUXILIAR!$BK$7</f>
        <v>1.26</v>
      </c>
      <c r="AA16" s="102">
        <f>(S16-Y16-Z16)*(AUXILIAR!$BL$7+AUXILIAR!$BM$7)</f>
        <v>0.85470000000000002</v>
      </c>
      <c r="AB16" s="103">
        <f t="shared" si="6"/>
        <v>0.15738498789346256</v>
      </c>
      <c r="AC16" s="103">
        <f t="shared" si="7"/>
        <v>-0.67888619854721555</v>
      </c>
      <c r="AD16" s="103">
        <f t="shared" si="8"/>
        <v>-0.46051113801452787</v>
      </c>
      <c r="AE16" s="103">
        <f t="shared" si="9"/>
        <v>-0.9820123486682808</v>
      </c>
      <c r="AF16" s="103">
        <f t="shared" si="10"/>
        <v>11.514772500000001</v>
      </c>
      <c r="AG16" s="102">
        <f t="shared" si="11"/>
        <v>2.5479876513317192</v>
      </c>
      <c r="AH16" s="100">
        <f t="shared" si="12"/>
        <v>2.7942379178946735</v>
      </c>
      <c r="AI16" s="104">
        <f t="shared" si="13"/>
        <v>0.24266549060302087</v>
      </c>
      <c r="AJ16" s="100">
        <f t="shared" si="29"/>
        <v>11.48798765133172</v>
      </c>
      <c r="AK16" s="100">
        <f t="shared" si="14"/>
        <v>12.598244217894674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5</v>
      </c>
      <c r="AN16" s="100">
        <f t="shared" si="15"/>
        <v>4.5179876513317199</v>
      </c>
      <c r="AO16" s="100">
        <f t="shared" si="16"/>
        <v>0.21</v>
      </c>
      <c r="AP16" s="100">
        <f t="shared" si="17"/>
        <v>0.26</v>
      </c>
      <c r="AQ16" s="212">
        <f>IFERROR(INDEX(AUXILIAR!$AG$3:$AG$28,MATCH(G16,AUXILIAR!$AH$3:$AH$28,1))*AM16,0)</f>
        <v>0.5</v>
      </c>
      <c r="AR16" s="105">
        <f>IF(R16="GUILHOTINA",IFERROR(VLOOKUP(G16,AUXILIAR!$Q:$S,3,FALSE),""),IF(R16="LASER",IFERROR(VLOOKUP(G16,AUXILIAR!$E:$I,3,FALSE),""),IF(R16="PLASMA",IFERROR(VLOOKUP(G16,AUXILIAR!$K:$O,3,FALSE),""),"")))</f>
        <v>2040</v>
      </c>
      <c r="AS16" s="89">
        <f t="shared" si="18"/>
        <v>11000</v>
      </c>
      <c r="AT16" s="89">
        <f t="shared" si="19"/>
        <v>22000</v>
      </c>
      <c r="AU16" s="89">
        <f t="shared" si="20"/>
        <v>1292.38934211693</v>
      </c>
      <c r="AV16" s="89">
        <f t="shared" si="21"/>
        <v>646.19467105846502</v>
      </c>
      <c r="AW16" s="89">
        <f t="shared" si="22"/>
        <v>1292.38934211693</v>
      </c>
      <c r="AX16" s="89">
        <f>IFERROR(
IF($R16="LASER",
   VLOOKUP($G16,AUXILIAR!$E$3:$G$27,3,FALSE),
IF($R16="PLASMA",
   VLOOKUP($G16,AUXILIAR!$K$6:$M$28,3,FALSE),
0)),
0)</f>
        <v>2040</v>
      </c>
      <c r="AY16" s="89">
        <f t="shared" si="23"/>
        <v>188.49555921538757</v>
      </c>
      <c r="AZ16" s="89">
        <f t="shared" si="24"/>
        <v>2040</v>
      </c>
      <c r="BA16" s="201">
        <f t="shared" si="25"/>
        <v>9.2399783929111551E-2</v>
      </c>
      <c r="BB16" s="201">
        <f t="shared" si="26"/>
        <v>0.16666666666666666</v>
      </c>
      <c r="BC16" s="201">
        <f t="shared" si="27"/>
        <v>0.75906645059577815</v>
      </c>
      <c r="BD16" s="201">
        <f t="shared" si="28"/>
        <v>0.45</v>
      </c>
      <c r="BE16" s="89">
        <f t="shared" si="30"/>
        <v>918</v>
      </c>
      <c r="BF16" s="91">
        <f t="shared" si="31"/>
        <v>0.125</v>
      </c>
      <c r="BG16" s="91">
        <f t="shared" si="32"/>
        <v>1.3333333333333334E-2</v>
      </c>
      <c r="BH16" s="201">
        <f t="shared" si="33"/>
        <v>2.3052313112896017</v>
      </c>
    </row>
    <row r="17" spans="1:60" x14ac:dyDescent="0.35">
      <c r="A17" s="85">
        <v>3253</v>
      </c>
      <c r="B17" s="85" t="s">
        <v>205</v>
      </c>
      <c r="C17" s="85">
        <v>2</v>
      </c>
      <c r="D17" s="85" t="s">
        <v>44</v>
      </c>
      <c r="E17" s="86">
        <v>0</v>
      </c>
      <c r="F17" s="86"/>
      <c r="G17" s="206">
        <v>6.35</v>
      </c>
      <c r="H17" s="87">
        <v>151</v>
      </c>
      <c r="I17" s="87">
        <v>44</v>
      </c>
      <c r="J17" s="85"/>
      <c r="K17" s="99">
        <v>1200</v>
      </c>
      <c r="L17" s="90">
        <f t="shared" si="0"/>
        <v>0.3311867899999999</v>
      </c>
      <c r="M17" s="198">
        <f t="shared" si="1"/>
        <v>0.6623735799999998</v>
      </c>
      <c r="N17" s="91">
        <f t="shared" si="2"/>
        <v>0.38235294117647056</v>
      </c>
      <c r="O17" s="211">
        <f>IF(L17="",0,IFERROR(IF($M$2="ESTUDO",BH17,N17)+INDEX(AUXILIAR!$AO$3:$AO$8,MATCH(L17,{0;2;5;10;20;50},1))*1440,IF(M17="ESTUDO",BH17,N17)))</f>
        <v>6.9641036414565818</v>
      </c>
      <c r="P17" s="100">
        <f t="shared" si="3"/>
        <v>3.4650000000000003</v>
      </c>
      <c r="Q17" s="100">
        <f t="shared" si="4"/>
        <v>6.9300000000000006</v>
      </c>
      <c r="R17" s="92" t="s">
        <v>0</v>
      </c>
      <c r="S17" s="88">
        <f t="shared" si="5"/>
        <v>10.5</v>
      </c>
      <c r="T17" s="100">
        <f>((AM17/(1+AUXILIAR!$BJ$4))-((AM17/(1+AUXILIAR!$BJ$4))*AUXILIAR!$BK$4))-(((AM17/(1+AUXILIAR!$BJ$4))-((AM17/(1+AUXILIAR!$BJ$4))*AUXILIAR!$BK$4))*((AUXILIAR!$BL$4+AUXILIAR!$BM$4)))</f>
        <v>3.867312348668281</v>
      </c>
      <c r="U17" s="100">
        <f>((S17/(1+AUXILIAR!$BJ$7))-((S17/(1+AUXILIAR!$BJ$7))*AUXILIAR!$BK$7))-(((S17/(1+AUXILIAR!$BJ$7))-((S17/(1+AUXILIAR!$BJ$7))*AUXILIAR!$BK$7))*((AUXILIAR!$BL$7+AUXILIAR!$BM$7)))</f>
        <v>8.3853000000000009</v>
      </c>
      <c r="V17" s="101">
        <f>AM17-(AM17/(1+AUXILIAR!$BJ$4))</f>
        <v>0.15738498789346256</v>
      </c>
      <c r="W17" s="102">
        <f>(AM17-V17)*AUXILIAR!$BK$4</f>
        <v>0.58111380145278446</v>
      </c>
      <c r="X17" s="102">
        <f>(AM17-V17-W17)*(AUXILIAR!$BL$4+AUXILIAR!$BM$4)</f>
        <v>0.39418886198547215</v>
      </c>
      <c r="Y17" s="102">
        <f>X17-(X17/(1+AUXILIAR!$BJ$7))</f>
        <v>0</v>
      </c>
      <c r="Z17" s="102">
        <f>(S17-Y17)*AUXILIAR!$BK$7</f>
        <v>1.26</v>
      </c>
      <c r="AA17" s="102">
        <f>(S17-Y17-Z17)*(AUXILIAR!$BL$7+AUXILIAR!$BM$7)</f>
        <v>0.85470000000000002</v>
      </c>
      <c r="AB17" s="103">
        <f t="shared" si="6"/>
        <v>0.15738498789346256</v>
      </c>
      <c r="AC17" s="103">
        <f t="shared" si="7"/>
        <v>-0.67888619854721555</v>
      </c>
      <c r="AD17" s="103">
        <f t="shared" si="8"/>
        <v>-0.46051113801452787</v>
      </c>
      <c r="AE17" s="103">
        <f t="shared" si="9"/>
        <v>-0.9820123486682808</v>
      </c>
      <c r="AF17" s="103">
        <f t="shared" si="10"/>
        <v>6.954922589999998</v>
      </c>
      <c r="AG17" s="102">
        <f t="shared" si="11"/>
        <v>2.5479876513317192</v>
      </c>
      <c r="AH17" s="100">
        <f t="shared" si="12"/>
        <v>1.6877197024083821</v>
      </c>
      <c r="AI17" s="104">
        <f t="shared" si="13"/>
        <v>0.24266549060302087</v>
      </c>
      <c r="AJ17" s="100">
        <f t="shared" si="29"/>
        <v>11.48798765133172</v>
      </c>
      <c r="AK17" s="100">
        <f t="shared" si="14"/>
        <v>7.6093395076083805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5</v>
      </c>
      <c r="AN17" s="100">
        <f t="shared" si="15"/>
        <v>4.5179876513317199</v>
      </c>
      <c r="AO17" s="100">
        <f t="shared" si="16"/>
        <v>0.21</v>
      </c>
      <c r="AP17" s="100">
        <f t="shared" si="17"/>
        <v>0.26</v>
      </c>
      <c r="AQ17" s="212">
        <f>IFERROR(INDEX(AUXILIAR!$AG$3:$AG$28,MATCH(G17,AUXILIAR!$AH$3:$AH$28,1))*AM17,0)</f>
        <v>0.5</v>
      </c>
      <c r="AR17" s="105">
        <f>IF(R17="GUILHOTINA",IFERROR(VLOOKUP(G17,AUXILIAR!$Q:$S,3,FALSE),""),IF(R17="LASER",IFERROR(VLOOKUP(G17,AUXILIAR!$E:$I,3,FALSE),""),IF(R17="PLASMA",IFERROR(VLOOKUP(G17,AUXILIAR!$K:$O,3,FALSE),""),"")))</f>
        <v>2040</v>
      </c>
      <c r="AS17" s="89">
        <f t="shared" si="18"/>
        <v>6644</v>
      </c>
      <c r="AT17" s="89">
        <f t="shared" si="19"/>
        <v>13288</v>
      </c>
      <c r="AU17" s="89">
        <f t="shared" si="20"/>
        <v>780</v>
      </c>
      <c r="AV17" s="89">
        <f t="shared" si="21"/>
        <v>390</v>
      </c>
      <c r="AW17" s="89">
        <f t="shared" si="22"/>
        <v>780</v>
      </c>
      <c r="AX17" s="89">
        <f>IFERROR(
IF($R17="LASER",
   VLOOKUP($G17,AUXILIAR!$E$3:$G$27,3,FALSE),
IF($R17="PLASMA",
   VLOOKUP($G17,AUXILIAR!$K$6:$M$28,3,FALSE),
0)),
0)</f>
        <v>2040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0.35</v>
      </c>
      <c r="BE17" s="89">
        <f t="shared" si="30"/>
        <v>714</v>
      </c>
      <c r="BF17" s="91">
        <f t="shared" si="31"/>
        <v>2.5000000000000001E-2</v>
      </c>
      <c r="BG17" s="91">
        <f t="shared" si="32"/>
        <v>1.3333333333333334E-2</v>
      </c>
      <c r="BH17" s="201">
        <f t="shared" si="33"/>
        <v>1.1307703081232492</v>
      </c>
    </row>
    <row r="18" spans="1:60" x14ac:dyDescent="0.35">
      <c r="A18" s="85">
        <v>3253</v>
      </c>
      <c r="B18" s="85" t="s">
        <v>206</v>
      </c>
      <c r="C18" s="85">
        <v>2</v>
      </c>
      <c r="D18" s="85" t="s">
        <v>44</v>
      </c>
      <c r="E18" s="86">
        <v>0</v>
      </c>
      <c r="F18" s="86"/>
      <c r="G18" s="206">
        <v>6.35</v>
      </c>
      <c r="H18" s="87">
        <v>156</v>
      </c>
      <c r="I18" s="87">
        <v>100</v>
      </c>
      <c r="J18" s="85"/>
      <c r="K18" s="99">
        <v>1200</v>
      </c>
      <c r="L18" s="90">
        <f t="shared" si="0"/>
        <v>0.77762100000000001</v>
      </c>
      <c r="M18" s="198">
        <f t="shared" si="1"/>
        <v>1.555242</v>
      </c>
      <c r="N18" s="91">
        <f t="shared" si="2"/>
        <v>0.50196078431372548</v>
      </c>
      <c r="O18" s="211">
        <f>IF(L18="",0,IFERROR(IF($M$2="ESTUDO",BH18,N18)+INDEX(AUXILIAR!$AO$3:$AO$8,MATCH(L18,{0;2;5;10;20;50},1))*1440,IF(M18="ESTUDO",BH18,N18)))</f>
        <v>6.9871350762527236</v>
      </c>
      <c r="P18" s="100">
        <f t="shared" si="3"/>
        <v>8.19</v>
      </c>
      <c r="Q18" s="100">
        <f t="shared" si="4"/>
        <v>16.38</v>
      </c>
      <c r="R18" s="92" t="s">
        <v>0</v>
      </c>
      <c r="S18" s="88">
        <f t="shared" si="5"/>
        <v>10.5</v>
      </c>
      <c r="T18" s="100">
        <f>((AM18/(1+AUXILIAR!$BJ$4))-((AM18/(1+AUXILIAR!$BJ$4))*AUXILIAR!$BK$4))-(((AM18/(1+AUXILIAR!$BJ$4))-((AM18/(1+AUXILIAR!$BJ$4))*AUXILIAR!$BK$4))*((AUXILIAR!$BL$4+AUXILIAR!$BM$4)))</f>
        <v>3.867312348668281</v>
      </c>
      <c r="U18" s="100">
        <f>((S18/(1+AUXILIAR!$BJ$7))-((S18/(1+AUXILIAR!$BJ$7))*AUXILIAR!$BK$7))-(((S18/(1+AUXILIAR!$BJ$7))-((S18/(1+AUXILIAR!$BJ$7))*AUXILIAR!$BK$7))*((AUXILIAR!$BL$7+AUXILIAR!$BM$7)))</f>
        <v>8.3853000000000009</v>
      </c>
      <c r="V18" s="101">
        <f>AM18-(AM18/(1+AUXILIAR!$BJ$4))</f>
        <v>0.15738498789346256</v>
      </c>
      <c r="W18" s="102">
        <f>(AM18-V18)*AUXILIAR!$BK$4</f>
        <v>0.58111380145278446</v>
      </c>
      <c r="X18" s="102">
        <f>(AM18-V18-W18)*(AUXILIAR!$BL$4+AUXILIAR!$BM$4)</f>
        <v>0.39418886198547215</v>
      </c>
      <c r="Y18" s="102">
        <f>X18-(X18/(1+AUXILIAR!$BJ$7))</f>
        <v>0</v>
      </c>
      <c r="Z18" s="102">
        <f>(S18-Y18)*AUXILIAR!$BK$7</f>
        <v>1.26</v>
      </c>
      <c r="AA18" s="102">
        <f>(S18-Y18-Z18)*(AUXILIAR!$BL$7+AUXILIAR!$BM$7)</f>
        <v>0.85470000000000002</v>
      </c>
      <c r="AB18" s="103">
        <f t="shared" si="6"/>
        <v>0.15738498789346256</v>
      </c>
      <c r="AC18" s="103">
        <f t="shared" si="7"/>
        <v>-0.67888619854721555</v>
      </c>
      <c r="AD18" s="103">
        <f t="shared" si="8"/>
        <v>-0.46051113801452787</v>
      </c>
      <c r="AE18" s="103">
        <f t="shared" si="9"/>
        <v>-0.9820123486682808</v>
      </c>
      <c r="AF18" s="103">
        <f t="shared" si="10"/>
        <v>16.330041000000001</v>
      </c>
      <c r="AG18" s="102">
        <f t="shared" si="11"/>
        <v>2.5479876513317192</v>
      </c>
      <c r="AH18" s="100">
        <f t="shared" si="12"/>
        <v>3.9627374108324456</v>
      </c>
      <c r="AI18" s="104">
        <f t="shared" si="13"/>
        <v>0.24266549060302087</v>
      </c>
      <c r="AJ18" s="100">
        <f t="shared" si="29"/>
        <v>11.48798765133172</v>
      </c>
      <c r="AK18" s="100">
        <f t="shared" si="14"/>
        <v>17.866600890832448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5</v>
      </c>
      <c r="AN18" s="100">
        <f t="shared" si="15"/>
        <v>4.5179876513317199</v>
      </c>
      <c r="AO18" s="100">
        <f t="shared" si="16"/>
        <v>0.21</v>
      </c>
      <c r="AP18" s="100">
        <f t="shared" si="17"/>
        <v>0.26</v>
      </c>
      <c r="AQ18" s="212">
        <f>IFERROR(INDEX(AUXILIAR!$AG$3:$AG$28,MATCH(G18,AUXILIAR!$AH$3:$AH$28,1))*AM18,0)</f>
        <v>0.5</v>
      </c>
      <c r="AR18" s="105">
        <f>IF(R18="GUILHOTINA",IFERROR(VLOOKUP(G18,AUXILIAR!$Q:$S,3,FALSE),""),IF(R18="LASER",IFERROR(VLOOKUP(G18,AUXILIAR!$E:$I,3,FALSE),""),IF(R18="PLASMA",IFERROR(VLOOKUP(G18,AUXILIAR!$K:$O,3,FALSE),""),"")))</f>
        <v>2040</v>
      </c>
      <c r="AS18" s="89">
        <f t="shared" si="18"/>
        <v>15600</v>
      </c>
      <c r="AT18" s="89">
        <f t="shared" si="19"/>
        <v>31200</v>
      </c>
      <c r="AU18" s="89">
        <f t="shared" si="20"/>
        <v>1024</v>
      </c>
      <c r="AV18" s="89">
        <f t="shared" si="21"/>
        <v>512</v>
      </c>
      <c r="AW18" s="89">
        <f t="shared" si="22"/>
        <v>1024</v>
      </c>
      <c r="AX18" s="89">
        <f>IFERROR(
IF($R18="LASER",
   VLOOKUP($G18,AUXILIAR!$E$3:$G$27,3,FALSE),
IF($R18="PLASMA",
   VLOOKUP($G18,AUXILIAR!$K$6:$M$28,3,FALSE),
0)),
0)</f>
        <v>2040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0.45</v>
      </c>
      <c r="BE18" s="89">
        <f t="shared" si="30"/>
        <v>918</v>
      </c>
      <c r="BF18" s="91">
        <f t="shared" si="31"/>
        <v>2.5000000000000001E-2</v>
      </c>
      <c r="BG18" s="91">
        <f t="shared" si="32"/>
        <v>1.3333333333333334E-2</v>
      </c>
      <c r="BH18" s="201">
        <f t="shared" si="33"/>
        <v>1.1538017429193901</v>
      </c>
    </row>
    <row r="19" spans="1:60" x14ac:dyDescent="0.35">
      <c r="A19" s="85">
        <v>3253</v>
      </c>
      <c r="B19" s="85" t="s">
        <v>207</v>
      </c>
      <c r="C19" s="85">
        <v>2</v>
      </c>
      <c r="D19" s="85" t="s">
        <v>44</v>
      </c>
      <c r="E19" s="86">
        <v>3</v>
      </c>
      <c r="F19" s="86">
        <v>15</v>
      </c>
      <c r="G19" s="206">
        <v>7.94</v>
      </c>
      <c r="H19" s="87">
        <v>200</v>
      </c>
      <c r="I19" s="87">
        <v>50</v>
      </c>
      <c r="J19" s="85"/>
      <c r="K19" s="99">
        <v>1200</v>
      </c>
      <c r="L19" s="90">
        <f t="shared" si="0"/>
        <v>0.62329000000000001</v>
      </c>
      <c r="M19" s="198">
        <f t="shared" si="1"/>
        <v>1.24658</v>
      </c>
      <c r="N19" s="91">
        <f t="shared" si="2"/>
        <v>1.2917987572188441</v>
      </c>
      <c r="O19" s="211">
        <f>IF(L19="",0,IFERROR(IF($M$2="ESTUDO",BH19,N19)+INDEX(AUXILIAR!$AO$3:$AO$8,MATCH(L19,{0;2;5;10;20;50},1))*1440,IF(M19="ESTUDO",BH19,N19)))</f>
        <v>8.1604863432238748</v>
      </c>
      <c r="P19" s="100">
        <f t="shared" si="3"/>
        <v>6.5625</v>
      </c>
      <c r="Q19" s="100">
        <f t="shared" si="4"/>
        <v>13.125</v>
      </c>
      <c r="R19" s="92" t="s">
        <v>0</v>
      </c>
      <c r="S19" s="88">
        <f t="shared" si="5"/>
        <v>10.5</v>
      </c>
      <c r="T19" s="100">
        <f>((AM19/(1+AUXILIAR!$BJ$4))-((AM19/(1+AUXILIAR!$BJ$4))*AUXILIAR!$BK$4))-(((AM19/(1+AUXILIAR!$BJ$4))-((AM19/(1+AUXILIAR!$BJ$4))*AUXILIAR!$BK$4))*((AUXILIAR!$BL$4+AUXILIAR!$BM$4)))</f>
        <v>3.867312348668281</v>
      </c>
      <c r="U19" s="100">
        <f>((S19/(1+AUXILIAR!$BJ$7))-((S19/(1+AUXILIAR!$BJ$7))*AUXILIAR!$BK$7))-(((S19/(1+AUXILIAR!$BJ$7))-((S19/(1+AUXILIAR!$BJ$7))*AUXILIAR!$BK$7))*((AUXILIAR!$BL$7+AUXILIAR!$BM$7)))</f>
        <v>8.3853000000000009</v>
      </c>
      <c r="V19" s="101">
        <f>AM19-(AM19/(1+AUXILIAR!$BJ$4))</f>
        <v>0.15738498789346256</v>
      </c>
      <c r="W19" s="102">
        <f>(AM19-V19)*AUXILIAR!$BK$4</f>
        <v>0.58111380145278446</v>
      </c>
      <c r="X19" s="102">
        <f>(AM19-V19-W19)*(AUXILIAR!$BL$4+AUXILIAR!$BM$4)</f>
        <v>0.39418886198547215</v>
      </c>
      <c r="Y19" s="102">
        <f>X19-(X19/(1+AUXILIAR!$BJ$7))</f>
        <v>0</v>
      </c>
      <c r="Z19" s="102">
        <f>(S19-Y19)*AUXILIAR!$BK$7</f>
        <v>1.26</v>
      </c>
      <c r="AA19" s="102">
        <f>(S19-Y19-Z19)*(AUXILIAR!$BL$7+AUXILIAR!$BM$7)</f>
        <v>0.85470000000000002</v>
      </c>
      <c r="AB19" s="103">
        <f t="shared" si="6"/>
        <v>0.15738498789346256</v>
      </c>
      <c r="AC19" s="103">
        <f t="shared" si="7"/>
        <v>-0.67888619854721555</v>
      </c>
      <c r="AD19" s="103">
        <f t="shared" si="8"/>
        <v>-0.46051113801452787</v>
      </c>
      <c r="AE19" s="103">
        <f t="shared" si="9"/>
        <v>-0.9820123486682808</v>
      </c>
      <c r="AF19" s="103">
        <f t="shared" si="10"/>
        <v>13.089090000000001</v>
      </c>
      <c r="AG19" s="102">
        <f t="shared" si="11"/>
        <v>0.98926890133171863</v>
      </c>
      <c r="AH19" s="100">
        <f t="shared" si="12"/>
        <v>1.2332028270220938</v>
      </c>
      <c r="AI19" s="104">
        <f t="shared" si="13"/>
        <v>9.4216085841116057E-2</v>
      </c>
      <c r="AJ19" s="100">
        <f t="shared" si="29"/>
        <v>13.046706401331722</v>
      </c>
      <c r="AK19" s="100">
        <f t="shared" si="14"/>
        <v>16.263763265772099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5</v>
      </c>
      <c r="AN19" s="100">
        <f t="shared" si="15"/>
        <v>4.5179876513317199</v>
      </c>
      <c r="AO19" s="100">
        <f t="shared" si="16"/>
        <v>0.21</v>
      </c>
      <c r="AP19" s="100">
        <f t="shared" si="17"/>
        <v>0.26</v>
      </c>
      <c r="AQ19" s="212">
        <f>IFERROR(INDEX(AUXILIAR!$AG$3:$AG$28,MATCH(G19,AUXILIAR!$AH$3:$AH$28,1))*AM19,0)</f>
        <v>2.0587187500000006</v>
      </c>
      <c r="AR19" s="105">
        <f>IF(R19="GUILHOTINA",IFERROR(VLOOKUP(G19,AUXILIAR!$Q:$S,3,FALSE),""),IF(R19="LASER",IFERROR(VLOOKUP(G19,AUXILIAR!$E:$I,3,FALSE),""),IF(R19="PLASMA",IFERROR(VLOOKUP(G19,AUXILIAR!$K:$O,3,FALSE),""),"")))</f>
        <v>1870</v>
      </c>
      <c r="AS19" s="89">
        <f t="shared" si="18"/>
        <v>10000</v>
      </c>
      <c r="AT19" s="89">
        <f t="shared" si="19"/>
        <v>20000</v>
      </c>
      <c r="AU19" s="89">
        <f t="shared" si="20"/>
        <v>1339.2920065876976</v>
      </c>
      <c r="AV19" s="89">
        <f t="shared" si="21"/>
        <v>669.64600329384882</v>
      </c>
      <c r="AW19" s="89">
        <f t="shared" si="22"/>
        <v>1339.2920065876976</v>
      </c>
      <c r="AX19" s="89">
        <f>IFERROR(
IF($R19="LASER",
   VLOOKUP($G19,AUXILIAR!$E$3:$G$27,3,FALSE),
IF($R19="PLASMA",
   VLOOKUP($G19,AUXILIAR!$K$6:$M$28,3,FALSE),
0)),
0)</f>
        <v>1870</v>
      </c>
      <c r="AY19" s="89">
        <f t="shared" si="23"/>
        <v>141.37166941154067</v>
      </c>
      <c r="AZ19" s="89">
        <f t="shared" si="24"/>
        <v>1870</v>
      </c>
      <c r="BA19" s="201">
        <f t="shared" si="25"/>
        <v>7.5599823214727635E-2</v>
      </c>
      <c r="BB19" s="201">
        <f t="shared" si="26"/>
        <v>0.16666666666666666</v>
      </c>
      <c r="BC19" s="201">
        <f t="shared" si="27"/>
        <v>0.57559982321472769</v>
      </c>
      <c r="BD19" s="201">
        <f t="shared" si="28"/>
        <v>0.45</v>
      </c>
      <c r="BE19" s="89">
        <f t="shared" si="30"/>
        <v>841.5</v>
      </c>
      <c r="BF19" s="91">
        <f t="shared" si="31"/>
        <v>0.14666666666666667</v>
      </c>
      <c r="BG19" s="91">
        <f t="shared" si="32"/>
        <v>1.3333333333333334E-2</v>
      </c>
      <c r="BH19" s="201">
        <f t="shared" si="33"/>
        <v>2.3271530098905417</v>
      </c>
    </row>
    <row r="20" spans="1:60" x14ac:dyDescent="0.35">
      <c r="A20" s="85" t="s">
        <v>201</v>
      </c>
      <c r="B20" s="85" t="s">
        <v>208</v>
      </c>
      <c r="C20" s="85">
        <v>1</v>
      </c>
      <c r="D20" s="85" t="s">
        <v>44</v>
      </c>
      <c r="E20" s="86">
        <v>0</v>
      </c>
      <c r="F20" s="86"/>
      <c r="G20" s="206">
        <v>4.75</v>
      </c>
      <c r="H20" s="87">
        <v>1100</v>
      </c>
      <c r="I20" s="87">
        <v>1290</v>
      </c>
      <c r="J20" s="85"/>
      <c r="K20" s="99">
        <v>1200</v>
      </c>
      <c r="L20" s="90">
        <f t="shared" si="0"/>
        <v>52.910962499999997</v>
      </c>
      <c r="M20" s="198">
        <f t="shared" si="1"/>
        <v>52.910962499999997</v>
      </c>
      <c r="N20" s="91">
        <f t="shared" si="2"/>
        <v>0.66159169550173014</v>
      </c>
      <c r="O20" s="211">
        <f>IF(L20="",0,IFERROR(IF($M$2="ESTUDO",BH20,N20)+INDEX(AUXILIAR!$AO$3:$AO$8,MATCH(L20,{0;2;5;10;20;50},1))*1440,IF(M20="ESTUDO",BH20,N20)))</f>
        <v>24.286676504511838</v>
      </c>
      <c r="P20" s="100">
        <f t="shared" si="3"/>
        <v>555.55499999999995</v>
      </c>
      <c r="Q20" s="100">
        <f t="shared" si="4"/>
        <v>555.55499999999995</v>
      </c>
      <c r="R20" s="92" t="s">
        <v>0</v>
      </c>
      <c r="S20" s="88">
        <f t="shared" si="5"/>
        <v>10.5</v>
      </c>
      <c r="T20" s="100">
        <f>((AM20/(1+AUXILIAR!$BJ$4))-((AM20/(1+AUXILIAR!$BJ$4))*AUXILIAR!$BK$4))-(((AM20/(1+AUXILIAR!$BJ$4))-((AM20/(1+AUXILIAR!$BJ$4))*AUXILIAR!$BK$4))*((AUXILIAR!$BL$4+AUXILIAR!$BM$4)))</f>
        <v>3.867312348668281</v>
      </c>
      <c r="U20" s="100">
        <f>((S20/(1+AUXILIAR!$BJ$7))-((S20/(1+AUXILIAR!$BJ$7))*AUXILIAR!$BK$7))-(((S20/(1+AUXILIAR!$BJ$7))-((S20/(1+AUXILIAR!$BJ$7))*AUXILIAR!$BK$7))*((AUXILIAR!$BL$7+AUXILIAR!$BM$7)))</f>
        <v>8.3853000000000009</v>
      </c>
      <c r="V20" s="101">
        <f>AM20-(AM20/(1+AUXILIAR!$BJ$4))</f>
        <v>0.15738498789346256</v>
      </c>
      <c r="W20" s="102">
        <f>(AM20-V20)*AUXILIAR!$BK$4</f>
        <v>0.58111380145278446</v>
      </c>
      <c r="X20" s="102">
        <f>(AM20-V20-W20)*(AUXILIAR!$BL$4+AUXILIAR!$BM$4)</f>
        <v>0.39418886198547215</v>
      </c>
      <c r="Y20" s="102">
        <f>X20-(X20/(1+AUXILIAR!$BJ$7))</f>
        <v>0</v>
      </c>
      <c r="Z20" s="102">
        <f>(S20-Y20)*AUXILIAR!$BK$7</f>
        <v>1.26</v>
      </c>
      <c r="AA20" s="102">
        <f>(S20-Y20-Z20)*(AUXILIAR!$BL$7+AUXILIAR!$BM$7)</f>
        <v>0.85470000000000002</v>
      </c>
      <c r="AB20" s="103">
        <f t="shared" si="6"/>
        <v>0.15738498789346256</v>
      </c>
      <c r="AC20" s="103">
        <f t="shared" si="7"/>
        <v>-0.67888619854721555</v>
      </c>
      <c r="AD20" s="103">
        <f t="shared" si="8"/>
        <v>-0.46051113801452787</v>
      </c>
      <c r="AE20" s="103">
        <f t="shared" si="9"/>
        <v>-0.9820123486682808</v>
      </c>
      <c r="AF20" s="103">
        <f t="shared" si="10"/>
        <v>555.56510624999999</v>
      </c>
      <c r="AG20" s="102">
        <f t="shared" si="11"/>
        <v>3.0479876513317192</v>
      </c>
      <c r="AH20" s="100">
        <f t="shared" si="12"/>
        <v>161.27196032007566</v>
      </c>
      <c r="AI20" s="104">
        <f t="shared" si="13"/>
        <v>0.29028453822206851</v>
      </c>
      <c r="AJ20" s="100">
        <f t="shared" si="29"/>
        <v>10.98798765133172</v>
      </c>
      <c r="AK20" s="100">
        <f t="shared" si="14"/>
        <v>581.3850025700757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5</v>
      </c>
      <c r="AN20" s="100">
        <f t="shared" si="15"/>
        <v>4.5179876513317199</v>
      </c>
      <c r="AO20" s="100">
        <f t="shared" si="16"/>
        <v>0.21</v>
      </c>
      <c r="AP20" s="100">
        <f t="shared" si="17"/>
        <v>0.26</v>
      </c>
      <c r="AQ20" s="212">
        <f>IFERROR(INDEX(AUXILIAR!$AG$3:$AG$28,MATCH(G20,AUXILIAR!$AH$3:$AH$28,1))*AM20,0)</f>
        <v>0</v>
      </c>
      <c r="AR20" s="105">
        <f>IF(R20="GUILHOTINA",IFERROR(VLOOKUP(G20,AUXILIAR!$Q:$S,3,FALSE),""),IF(R20="LASER",IFERROR(VLOOKUP(G20,AUXILIAR!$E:$I,3,FALSE),""),IF(R20="PLASMA",IFERROR(VLOOKUP(G20,AUXILIAR!$K:$O,3,FALSE),""),"")))</f>
        <v>7225</v>
      </c>
      <c r="AS20" s="89">
        <f t="shared" si="18"/>
        <v>1419000</v>
      </c>
      <c r="AT20" s="89">
        <f t="shared" si="19"/>
        <v>1419000</v>
      </c>
      <c r="AU20" s="89">
        <f t="shared" si="20"/>
        <v>4780</v>
      </c>
      <c r="AV20" s="89">
        <f t="shared" si="21"/>
        <v>4780</v>
      </c>
      <c r="AW20" s="89">
        <f t="shared" si="22"/>
        <v>4780</v>
      </c>
      <c r="AX20" s="89">
        <f>IFERROR(
IF($R20="LASER",
   VLOOKUP($G20,AUXILIAR!$E$3:$G$27,3,FALSE),
IF($R20="PLASMA",
   VLOOKUP($G20,AUXILIAR!$K$6:$M$28,3,FALSE),
0)),
0)</f>
        <v>7225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0.85</v>
      </c>
      <c r="BE20" s="89">
        <f t="shared" si="30"/>
        <v>6141.25</v>
      </c>
      <c r="BF20" s="91">
        <f t="shared" si="31"/>
        <v>2.5000000000000001E-2</v>
      </c>
      <c r="BG20" s="91">
        <f t="shared" si="32"/>
        <v>3.3333333333333333E-2</v>
      </c>
      <c r="BH20" s="201">
        <f t="shared" si="33"/>
        <v>0.83667650451183939</v>
      </c>
    </row>
    <row r="21" spans="1:60" x14ac:dyDescent="0.35">
      <c r="A21" s="85" t="s">
        <v>201</v>
      </c>
      <c r="B21" s="85" t="s">
        <v>209</v>
      </c>
      <c r="C21" s="85">
        <v>1</v>
      </c>
      <c r="D21" s="85" t="s">
        <v>44</v>
      </c>
      <c r="E21" s="86">
        <v>0</v>
      </c>
      <c r="F21" s="86"/>
      <c r="G21" s="206">
        <v>4.75</v>
      </c>
      <c r="H21" s="87">
        <v>1320</v>
      </c>
      <c r="I21" s="87">
        <v>1231</v>
      </c>
      <c r="J21" s="85"/>
      <c r="K21" s="99">
        <v>1200</v>
      </c>
      <c r="L21" s="90">
        <f t="shared" si="0"/>
        <v>60.589204500000001</v>
      </c>
      <c r="M21" s="198">
        <f t="shared" si="1"/>
        <v>60.589204500000001</v>
      </c>
      <c r="N21" s="91">
        <f t="shared" si="2"/>
        <v>0.70615916955017299</v>
      </c>
      <c r="O21" s="211">
        <f>IF(L21="",0,IFERROR(IF($M$2="ESTUDO",BH21,N21)+INDEX(AUXILIAR!$AO$3:$AO$8,MATCH(L21,{0;2;5;10;20;50},1))*1440,IF(M21="ESTUDO",BH21,N21)))</f>
        <v>24.339108826921773</v>
      </c>
      <c r="P21" s="100">
        <f t="shared" si="3"/>
        <v>636.19500000000005</v>
      </c>
      <c r="Q21" s="100">
        <f t="shared" si="4"/>
        <v>636.19500000000005</v>
      </c>
      <c r="R21" s="92" t="s">
        <v>0</v>
      </c>
      <c r="S21" s="88">
        <f t="shared" si="5"/>
        <v>10.5</v>
      </c>
      <c r="T21" s="100">
        <f>((AM21/(1+AUXILIAR!$BJ$4))-((AM21/(1+AUXILIAR!$BJ$4))*AUXILIAR!$BK$4))-(((AM21/(1+AUXILIAR!$BJ$4))-((AM21/(1+AUXILIAR!$BJ$4))*AUXILIAR!$BK$4))*((AUXILIAR!$BL$4+AUXILIAR!$BM$4)))</f>
        <v>3.867312348668281</v>
      </c>
      <c r="U21" s="100">
        <f>((S21/(1+AUXILIAR!$BJ$7))-((S21/(1+AUXILIAR!$BJ$7))*AUXILIAR!$BK$7))-(((S21/(1+AUXILIAR!$BJ$7))-((S21/(1+AUXILIAR!$BJ$7))*AUXILIAR!$BK$7))*((AUXILIAR!$BL$7+AUXILIAR!$BM$7)))</f>
        <v>8.3853000000000009</v>
      </c>
      <c r="V21" s="101">
        <f>AM21-(AM21/(1+AUXILIAR!$BJ$4))</f>
        <v>0.15738498789346256</v>
      </c>
      <c r="W21" s="102">
        <f>(AM21-V21)*AUXILIAR!$BK$4</f>
        <v>0.58111380145278446</v>
      </c>
      <c r="X21" s="102">
        <f>(AM21-V21-W21)*(AUXILIAR!$BL$4+AUXILIAR!$BM$4)</f>
        <v>0.39418886198547215</v>
      </c>
      <c r="Y21" s="102">
        <f>X21-(X21/(1+AUXILIAR!$BJ$7))</f>
        <v>0</v>
      </c>
      <c r="Z21" s="102">
        <f>(S21-Y21)*AUXILIAR!$BK$7</f>
        <v>1.26</v>
      </c>
      <c r="AA21" s="102">
        <f>(S21-Y21-Z21)*(AUXILIAR!$BL$7+AUXILIAR!$BM$7)</f>
        <v>0.85470000000000002</v>
      </c>
      <c r="AB21" s="103">
        <f t="shared" si="6"/>
        <v>0.15738498789346256</v>
      </c>
      <c r="AC21" s="103">
        <f t="shared" si="7"/>
        <v>-0.67888619854721555</v>
      </c>
      <c r="AD21" s="103">
        <f t="shared" si="8"/>
        <v>-0.46051113801452787</v>
      </c>
      <c r="AE21" s="103">
        <f t="shared" si="9"/>
        <v>-0.9820123486682808</v>
      </c>
      <c r="AF21" s="103">
        <f t="shared" si="10"/>
        <v>636.18664724999996</v>
      </c>
      <c r="AG21" s="102">
        <f t="shared" si="11"/>
        <v>3.0479876513317192</v>
      </c>
      <c r="AH21" s="100">
        <f t="shared" si="12"/>
        <v>184.67514712001224</v>
      </c>
      <c r="AI21" s="104">
        <f t="shared" si="13"/>
        <v>0.29028453822206851</v>
      </c>
      <c r="AJ21" s="100">
        <f t="shared" si="29"/>
        <v>10.98798765133172</v>
      </c>
      <c r="AK21" s="100">
        <f t="shared" si="14"/>
        <v>665.75343085001225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5</v>
      </c>
      <c r="AN21" s="100">
        <f t="shared" si="15"/>
        <v>4.5179876513317199</v>
      </c>
      <c r="AO21" s="100">
        <f t="shared" si="16"/>
        <v>0.21</v>
      </c>
      <c r="AP21" s="100">
        <f t="shared" si="17"/>
        <v>0.26</v>
      </c>
      <c r="AQ21" s="212">
        <f>IFERROR(INDEX(AUXILIAR!$AG$3:$AG$28,MATCH(G21,AUXILIAR!$AH$3:$AH$28,1))*AM21,0)</f>
        <v>0</v>
      </c>
      <c r="AR21" s="105">
        <f>IF(R21="GUILHOTINA",IFERROR(VLOOKUP(G21,AUXILIAR!$Q:$S,3,FALSE),""),IF(R21="LASER",IFERROR(VLOOKUP(G21,AUXILIAR!$E:$I,3,FALSE),""),IF(R21="PLASMA",IFERROR(VLOOKUP(G21,AUXILIAR!$K:$O,3,FALSE),""),"")))</f>
        <v>7225</v>
      </c>
      <c r="AS21" s="89">
        <f t="shared" si="18"/>
        <v>1624920</v>
      </c>
      <c r="AT21" s="89">
        <f t="shared" si="19"/>
        <v>1624920</v>
      </c>
      <c r="AU21" s="89">
        <f t="shared" si="20"/>
        <v>5102</v>
      </c>
      <c r="AV21" s="89">
        <f t="shared" si="21"/>
        <v>5102</v>
      </c>
      <c r="AW21" s="89">
        <f t="shared" si="22"/>
        <v>5102</v>
      </c>
      <c r="AX21" s="89">
        <f>IFERROR(
IF($R21="LASER",
   VLOOKUP($G21,AUXILIAR!$E$3:$G$27,3,FALSE),
IF($R21="PLASMA",
   VLOOKUP($G21,AUXILIAR!$K$6:$M$28,3,FALSE),
0)),
0)</f>
        <v>7225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0.85</v>
      </c>
      <c r="BE21" s="89">
        <f>AX21*BD21</f>
        <v>6141.25</v>
      </c>
      <c r="BF21" s="91">
        <f t="shared" si="31"/>
        <v>2.5000000000000001E-2</v>
      </c>
      <c r="BG21" s="91">
        <f t="shared" si="32"/>
        <v>3.3333333333333333E-2</v>
      </c>
      <c r="BH21" s="201">
        <f t="shared" si="33"/>
        <v>0.88910882692177218</v>
      </c>
    </row>
    <row r="22" spans="1:60" x14ac:dyDescent="0.35">
      <c r="A22" s="85">
        <v>3253</v>
      </c>
      <c r="B22" s="85" t="s">
        <v>210</v>
      </c>
      <c r="C22" s="85">
        <v>1</v>
      </c>
      <c r="D22" s="85" t="s">
        <v>44</v>
      </c>
      <c r="E22" s="86">
        <v>0</v>
      </c>
      <c r="F22" s="86"/>
      <c r="G22" s="86">
        <v>3</v>
      </c>
      <c r="H22" s="87">
        <v>1100</v>
      </c>
      <c r="I22" s="87">
        <v>200</v>
      </c>
      <c r="J22" s="85"/>
      <c r="K22" s="99">
        <v>1200</v>
      </c>
      <c r="L22" s="90">
        <f t="shared" si="0"/>
        <v>5.181</v>
      </c>
      <c r="M22" s="198">
        <f t="shared" si="1"/>
        <v>5.181</v>
      </c>
      <c r="N22" s="91">
        <f t="shared" si="2"/>
        <v>0.20392156862745098</v>
      </c>
      <c r="O22" s="211">
        <f>IF(L22="",0,IFERROR(IF($M$2="ESTUDO",BH22,N22)+INDEX(AUXILIAR!$AO$3:$AO$8,MATCH(L22,{0;2;5;10;20;50},1))*1440,IF(M22="ESTUDO",BH22,N22)))</f>
        <v>10.820228758169932</v>
      </c>
      <c r="P22" s="100">
        <f t="shared" si="3"/>
        <v>54.39</v>
      </c>
      <c r="Q22" s="100">
        <f t="shared" si="4"/>
        <v>54.39</v>
      </c>
      <c r="R22" s="92" t="s">
        <v>0</v>
      </c>
      <c r="S22" s="88">
        <f t="shared" si="5"/>
        <v>10.5</v>
      </c>
      <c r="T22" s="100">
        <f>((AM22/(1+AUXILIAR!$BJ$4))-((AM22/(1+AUXILIAR!$BJ$4))*AUXILIAR!$BK$4))-(((AM22/(1+AUXILIAR!$BJ$4))-((AM22/(1+AUXILIAR!$BJ$4))*AUXILIAR!$BK$4))*((AUXILIAR!$BL$4+AUXILIAR!$BM$4)))</f>
        <v>3.867312348668281</v>
      </c>
      <c r="U22" s="100">
        <f>((S22/(1+AUXILIAR!$BJ$7))-((S22/(1+AUXILIAR!$BJ$7))*AUXILIAR!$BK$7))-(((S22/(1+AUXILIAR!$BJ$7))-((S22/(1+AUXILIAR!$BJ$7))*AUXILIAR!$BK$7))*((AUXILIAR!$BL$7+AUXILIAR!$BM$7)))</f>
        <v>8.3853000000000009</v>
      </c>
      <c r="V22" s="101">
        <f>AM22-(AM22/(1+AUXILIAR!$BJ$4))</f>
        <v>0.15738498789346256</v>
      </c>
      <c r="W22" s="102">
        <f>(AM22-V22)*AUXILIAR!$BK$4</f>
        <v>0.58111380145278446</v>
      </c>
      <c r="X22" s="102">
        <f>(AM22-V22-W22)*(AUXILIAR!$BL$4+AUXILIAR!$BM$4)</f>
        <v>0.39418886198547215</v>
      </c>
      <c r="Y22" s="102">
        <f>X22-(X22/(1+AUXILIAR!$BJ$7))</f>
        <v>0</v>
      </c>
      <c r="Z22" s="102">
        <f>(S22-Y22)*AUXILIAR!$BK$7</f>
        <v>1.26</v>
      </c>
      <c r="AA22" s="102">
        <f>(S22-Y22-Z22)*(AUXILIAR!$BL$7+AUXILIAR!$BM$7)</f>
        <v>0.85470000000000002</v>
      </c>
      <c r="AB22" s="103">
        <f t="shared" si="6"/>
        <v>0.15738498789346256</v>
      </c>
      <c r="AC22" s="103">
        <f t="shared" si="7"/>
        <v>-0.67888619854721555</v>
      </c>
      <c r="AD22" s="103">
        <f t="shared" si="8"/>
        <v>-0.46051113801452787</v>
      </c>
      <c r="AE22" s="103">
        <f t="shared" si="9"/>
        <v>-0.9820123486682808</v>
      </c>
      <c r="AF22" s="103">
        <f t="shared" si="10"/>
        <v>54.400500000000001</v>
      </c>
      <c r="AG22" s="102">
        <f t="shared" si="11"/>
        <v>2.1345795263317191</v>
      </c>
      <c r="AH22" s="100">
        <f t="shared" si="12"/>
        <v>11.059256525924637</v>
      </c>
      <c r="AI22" s="104">
        <f t="shared" si="13"/>
        <v>0.20329328822206849</v>
      </c>
      <c r="AJ22" s="100">
        <f t="shared" si="29"/>
        <v>11.90139577633172</v>
      </c>
      <c r="AK22" s="100">
        <f t="shared" si="14"/>
        <v>61.661131517174638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5</v>
      </c>
      <c r="AN22" s="100">
        <f t="shared" si="15"/>
        <v>4.5179876513317199</v>
      </c>
      <c r="AO22" s="100">
        <f t="shared" si="16"/>
        <v>0.21</v>
      </c>
      <c r="AP22" s="100">
        <f t="shared" si="17"/>
        <v>0.26</v>
      </c>
      <c r="AQ22" s="212">
        <f>IFERROR(INDEX(AUXILIAR!$AG$3:$AG$28,MATCH(G22,AUXILIAR!$AH$3:$AH$28,1))*AM22,0)</f>
        <v>0.9134081249999999</v>
      </c>
      <c r="AR22" s="105">
        <f>IF(R22="GUILHOTINA",IFERROR(VLOOKUP(G22,AUXILIAR!$Q:$S,3,FALSE),""),IF(R22="LASER",IFERROR(VLOOKUP(G22,AUXILIAR!$E:$I,3,FALSE),""),IF(R22="PLASMA",IFERROR(VLOOKUP(G22,AUXILIAR!$K:$O,3,FALSE),""),"")))</f>
        <v>12750</v>
      </c>
      <c r="AS22" s="89">
        <f t="shared" si="18"/>
        <v>220000</v>
      </c>
      <c r="AT22" s="89">
        <f t="shared" si="19"/>
        <v>220000</v>
      </c>
      <c r="AU22" s="89">
        <f t="shared" si="20"/>
        <v>2600</v>
      </c>
      <c r="AV22" s="89">
        <f t="shared" si="21"/>
        <v>2600</v>
      </c>
      <c r="AW22" s="89">
        <f t="shared" si="22"/>
        <v>2600</v>
      </c>
      <c r="AX22" s="89">
        <f>IFERROR(
IF($R22="LASER",
   VLOOKUP($G22,AUXILIAR!$E$3:$G$27,3,FALSE),
IF($R22="PLASMA",
   VLOOKUP($G22,AUXILIAR!$K$6:$M$28,3,FALSE),
0)),
0)</f>
        <v>12750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0.75</v>
      </c>
      <c r="BE22" s="89">
        <f t="shared" si="30"/>
        <v>9562.5</v>
      </c>
      <c r="BF22" s="91">
        <f t="shared" si="31"/>
        <v>1.5000000000000001E-2</v>
      </c>
      <c r="BG22" s="91">
        <f t="shared" si="32"/>
        <v>3.3333333333333333E-2</v>
      </c>
      <c r="BH22" s="201">
        <f t="shared" si="33"/>
        <v>0.32022875816993462</v>
      </c>
    </row>
    <row r="23" spans="1:60" x14ac:dyDescent="0.35">
      <c r="A23" s="85">
        <v>3253</v>
      </c>
      <c r="B23" s="85" t="s">
        <v>211</v>
      </c>
      <c r="C23" s="85">
        <v>1</v>
      </c>
      <c r="D23" s="85" t="s">
        <v>44</v>
      </c>
      <c r="E23" s="86">
        <v>0</v>
      </c>
      <c r="F23" s="86"/>
      <c r="G23" s="86">
        <v>3</v>
      </c>
      <c r="H23" s="87">
        <v>1160</v>
      </c>
      <c r="I23" s="87">
        <v>200</v>
      </c>
      <c r="J23" s="85"/>
      <c r="K23" s="99">
        <v>1200</v>
      </c>
      <c r="L23" s="90">
        <f t="shared" si="0"/>
        <v>5.4635999999999996</v>
      </c>
      <c r="M23" s="198">
        <f t="shared" si="1"/>
        <v>5.4635999999999996</v>
      </c>
      <c r="N23" s="91">
        <f t="shared" si="2"/>
        <v>0.21333333333333335</v>
      </c>
      <c r="O23" s="211">
        <f>IF(L23="",0,IFERROR(IF($M$2="ESTUDO",BH23,N23)+INDEX(AUXILIAR!$AO$3:$AO$8,MATCH(L23,{0;2;5;10;20;50},1))*1440,IF(M23="ESTUDO",BH23,N23)))</f>
        <v>10.832777777777777</v>
      </c>
      <c r="P23" s="100">
        <f t="shared" si="3"/>
        <v>57.33</v>
      </c>
      <c r="Q23" s="100">
        <f t="shared" si="4"/>
        <v>57.33</v>
      </c>
      <c r="R23" s="92" t="s">
        <v>0</v>
      </c>
      <c r="S23" s="88">
        <f t="shared" si="5"/>
        <v>10.5</v>
      </c>
      <c r="T23" s="100">
        <f>((AM23/(1+AUXILIAR!$BJ$4))-((AM23/(1+AUXILIAR!$BJ$4))*AUXILIAR!$BK$4))-(((AM23/(1+AUXILIAR!$BJ$4))-((AM23/(1+AUXILIAR!$BJ$4))*AUXILIAR!$BK$4))*((AUXILIAR!$BL$4+AUXILIAR!$BM$4)))</f>
        <v>3.867312348668281</v>
      </c>
      <c r="U23" s="100">
        <f>((S23/(1+AUXILIAR!$BJ$7))-((S23/(1+AUXILIAR!$BJ$7))*AUXILIAR!$BK$7))-(((S23/(1+AUXILIAR!$BJ$7))-((S23/(1+AUXILIAR!$BJ$7))*AUXILIAR!$BK$7))*((AUXILIAR!$BL$7+AUXILIAR!$BM$7)))</f>
        <v>8.3853000000000009</v>
      </c>
      <c r="V23" s="101">
        <f>AM23-(AM23/(1+AUXILIAR!$BJ$4))</f>
        <v>0.15738498789346256</v>
      </c>
      <c r="W23" s="102">
        <f>(AM23-V23)*AUXILIAR!$BK$4</f>
        <v>0.58111380145278446</v>
      </c>
      <c r="X23" s="102">
        <f>(AM23-V23-W23)*(AUXILIAR!$BL$4+AUXILIAR!$BM$4)</f>
        <v>0.39418886198547215</v>
      </c>
      <c r="Y23" s="102">
        <f>X23-(X23/(1+AUXILIAR!$BJ$7))</f>
        <v>0</v>
      </c>
      <c r="Z23" s="102">
        <f>(S23-Y23)*AUXILIAR!$BK$7</f>
        <v>1.26</v>
      </c>
      <c r="AA23" s="102">
        <f>(S23-Y23-Z23)*(AUXILIAR!$BL$7+AUXILIAR!$BM$7)</f>
        <v>0.85470000000000002</v>
      </c>
      <c r="AB23" s="103">
        <f t="shared" si="6"/>
        <v>0.15738498789346256</v>
      </c>
      <c r="AC23" s="103">
        <f t="shared" si="7"/>
        <v>-0.67888619854721555</v>
      </c>
      <c r="AD23" s="103">
        <f t="shared" si="8"/>
        <v>-0.46051113801452787</v>
      </c>
      <c r="AE23" s="103">
        <f t="shared" si="9"/>
        <v>-0.9820123486682808</v>
      </c>
      <c r="AF23" s="103">
        <f t="shared" si="10"/>
        <v>57.367799999999995</v>
      </c>
      <c r="AG23" s="102">
        <f t="shared" si="11"/>
        <v>2.1345795263317191</v>
      </c>
      <c r="AH23" s="100">
        <f t="shared" si="12"/>
        <v>11.66248870006598</v>
      </c>
      <c r="AI23" s="104">
        <f t="shared" si="13"/>
        <v>0.20329328822206849</v>
      </c>
      <c r="AJ23" s="100">
        <f t="shared" si="29"/>
        <v>11.90139577633172</v>
      </c>
      <c r="AK23" s="100">
        <f t="shared" si="14"/>
        <v>65.024465963565973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5</v>
      </c>
      <c r="AN23" s="100">
        <f t="shared" si="15"/>
        <v>4.5179876513317199</v>
      </c>
      <c r="AO23" s="100">
        <f t="shared" si="16"/>
        <v>0.21</v>
      </c>
      <c r="AP23" s="100">
        <f t="shared" si="17"/>
        <v>0.26</v>
      </c>
      <c r="AQ23" s="212">
        <f>IFERROR(INDEX(AUXILIAR!$AG$3:$AG$28,MATCH(G23,AUXILIAR!$AH$3:$AH$28,1))*AM23,0)</f>
        <v>0.9134081249999999</v>
      </c>
      <c r="AR23" s="105">
        <f>IF(R23="GUILHOTINA",IFERROR(VLOOKUP(G23,AUXILIAR!$Q:$S,3,FALSE),""),IF(R23="LASER",IFERROR(VLOOKUP(G23,AUXILIAR!$E:$I,3,FALSE),""),IF(R23="PLASMA",IFERROR(VLOOKUP(G23,AUXILIAR!$K:$O,3,FALSE),""),"")))</f>
        <v>12750</v>
      </c>
      <c r="AS23" s="89">
        <f t="shared" si="18"/>
        <v>232000</v>
      </c>
      <c r="AT23" s="89">
        <f t="shared" si="19"/>
        <v>232000</v>
      </c>
      <c r="AU23" s="89">
        <f t="shared" si="20"/>
        <v>2720</v>
      </c>
      <c r="AV23" s="89">
        <f t="shared" si="21"/>
        <v>2720</v>
      </c>
      <c r="AW23" s="89">
        <f t="shared" si="22"/>
        <v>2720</v>
      </c>
      <c r="AX23" s="89">
        <f>IFERROR(
IF($R23="LASER",
   VLOOKUP($G23,AUXILIAR!$E$3:$G$27,3,FALSE),
IF($R23="PLASMA",
   VLOOKUP($G23,AUXILIAR!$K$6:$M$28,3,FALSE),
0)),
0)</f>
        <v>12750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0.75</v>
      </c>
      <c r="BE23" s="89">
        <f t="shared" si="30"/>
        <v>9562.5</v>
      </c>
      <c r="BF23" s="91">
        <f t="shared" si="31"/>
        <v>1.5000000000000001E-2</v>
      </c>
      <c r="BG23" s="91">
        <f t="shared" si="32"/>
        <v>3.3333333333333333E-2</v>
      </c>
      <c r="BH23" s="201">
        <f t="shared" si="33"/>
        <v>0.33277777777777778</v>
      </c>
    </row>
    <row r="24" spans="1:60" x14ac:dyDescent="0.35">
      <c r="A24" s="85">
        <v>3253</v>
      </c>
      <c r="B24" s="85" t="s">
        <v>212</v>
      </c>
      <c r="C24" s="85">
        <v>1</v>
      </c>
      <c r="D24" s="85" t="s">
        <v>44</v>
      </c>
      <c r="E24" s="86">
        <v>0</v>
      </c>
      <c r="F24" s="86"/>
      <c r="G24" s="86">
        <v>3</v>
      </c>
      <c r="H24" s="87">
        <v>1198</v>
      </c>
      <c r="I24" s="87">
        <v>200</v>
      </c>
      <c r="J24" s="85"/>
      <c r="K24" s="99">
        <v>1200</v>
      </c>
      <c r="L24" s="90">
        <f t="shared" si="0"/>
        <v>5.6425799999999997</v>
      </c>
      <c r="M24" s="198">
        <f t="shared" si="1"/>
        <v>5.6425799999999997</v>
      </c>
      <c r="N24" s="91">
        <f t="shared" si="2"/>
        <v>0.21929411764705883</v>
      </c>
      <c r="O24" s="211">
        <f>IF(L24="",0,IFERROR(IF($M$2="ESTUDO",BH24,N24)+INDEX(AUXILIAR!$AO$3:$AO$8,MATCH(L24,{0;2;5;10;20;50},1))*1440,IF(M24="ESTUDO",BH24,N24)))</f>
        <v>10.840725490196077</v>
      </c>
      <c r="P24" s="100">
        <f t="shared" si="3"/>
        <v>59.22</v>
      </c>
      <c r="Q24" s="100">
        <f t="shared" si="4"/>
        <v>59.22</v>
      </c>
      <c r="R24" s="92" t="s">
        <v>0</v>
      </c>
      <c r="S24" s="88">
        <f t="shared" si="5"/>
        <v>10.5</v>
      </c>
      <c r="T24" s="100">
        <f>((AM24/(1+AUXILIAR!$BJ$4))-((AM24/(1+AUXILIAR!$BJ$4))*AUXILIAR!$BK$4))-(((AM24/(1+AUXILIAR!$BJ$4))-((AM24/(1+AUXILIAR!$BJ$4))*AUXILIAR!$BK$4))*((AUXILIAR!$BL$4+AUXILIAR!$BM$4)))</f>
        <v>3.867312348668281</v>
      </c>
      <c r="U24" s="100">
        <f>((S24/(1+AUXILIAR!$BJ$7))-((S24/(1+AUXILIAR!$BJ$7))*AUXILIAR!$BK$7))-(((S24/(1+AUXILIAR!$BJ$7))-((S24/(1+AUXILIAR!$BJ$7))*AUXILIAR!$BK$7))*((AUXILIAR!$BL$7+AUXILIAR!$BM$7)))</f>
        <v>8.3853000000000009</v>
      </c>
      <c r="V24" s="101">
        <f>AM24-(AM24/(1+AUXILIAR!$BJ$4))</f>
        <v>0.15738498789346256</v>
      </c>
      <c r="W24" s="102">
        <f>(AM24-V24)*AUXILIAR!$BK$4</f>
        <v>0.58111380145278446</v>
      </c>
      <c r="X24" s="102">
        <f>(AM24-V24-W24)*(AUXILIAR!$BL$4+AUXILIAR!$BM$4)</f>
        <v>0.39418886198547215</v>
      </c>
      <c r="Y24" s="102">
        <f>X24-(X24/(1+AUXILIAR!$BJ$7))</f>
        <v>0</v>
      </c>
      <c r="Z24" s="102">
        <f>(S24-Y24)*AUXILIAR!$BK$7</f>
        <v>1.26</v>
      </c>
      <c r="AA24" s="102">
        <f>(S24-Y24-Z24)*(AUXILIAR!$BL$7+AUXILIAR!$BM$7)</f>
        <v>0.85470000000000002</v>
      </c>
      <c r="AB24" s="103">
        <f t="shared" si="6"/>
        <v>0.15738498789346256</v>
      </c>
      <c r="AC24" s="103">
        <f t="shared" si="7"/>
        <v>-0.67888619854721555</v>
      </c>
      <c r="AD24" s="103">
        <f t="shared" si="8"/>
        <v>-0.46051113801452787</v>
      </c>
      <c r="AE24" s="103">
        <f t="shared" si="9"/>
        <v>-0.9820123486682808</v>
      </c>
      <c r="AF24" s="103">
        <f t="shared" si="10"/>
        <v>59.24709</v>
      </c>
      <c r="AG24" s="102">
        <f t="shared" si="11"/>
        <v>2.1345795263317191</v>
      </c>
      <c r="AH24" s="100">
        <f t="shared" si="12"/>
        <v>12.044535743688831</v>
      </c>
      <c r="AI24" s="104">
        <f t="shared" si="13"/>
        <v>0.20329328822206849</v>
      </c>
      <c r="AJ24" s="100">
        <f t="shared" si="29"/>
        <v>11.90139577633172</v>
      </c>
      <c r="AK24" s="100">
        <f t="shared" si="14"/>
        <v>67.154577779613831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5</v>
      </c>
      <c r="AN24" s="100">
        <f t="shared" si="15"/>
        <v>4.5179876513317199</v>
      </c>
      <c r="AO24" s="100">
        <f t="shared" si="16"/>
        <v>0.21</v>
      </c>
      <c r="AP24" s="100">
        <f t="shared" si="17"/>
        <v>0.26</v>
      </c>
      <c r="AQ24" s="212">
        <f>IFERROR(INDEX(AUXILIAR!$AG$3:$AG$28,MATCH(G24,AUXILIAR!$AH$3:$AH$28,1))*AM24,0)</f>
        <v>0.9134081249999999</v>
      </c>
      <c r="AR24" s="105">
        <f>IF(R24="GUILHOTINA",IFERROR(VLOOKUP(G24,AUXILIAR!$Q:$S,3,FALSE),""),IF(R24="LASER",IFERROR(VLOOKUP(G24,AUXILIAR!$E:$I,3,FALSE),""),IF(R24="PLASMA",IFERROR(VLOOKUP(G24,AUXILIAR!$K:$O,3,FALSE),""),"")))</f>
        <v>12750</v>
      </c>
      <c r="AS24" s="89">
        <f t="shared" si="18"/>
        <v>239600</v>
      </c>
      <c r="AT24" s="89">
        <f t="shared" si="19"/>
        <v>239600</v>
      </c>
      <c r="AU24" s="89">
        <f t="shared" si="20"/>
        <v>2796</v>
      </c>
      <c r="AV24" s="89">
        <f t="shared" si="21"/>
        <v>2796</v>
      </c>
      <c r="AW24" s="89">
        <f t="shared" si="22"/>
        <v>2796</v>
      </c>
      <c r="AX24" s="89">
        <f>IFERROR(
IF($R24="LASER",
   VLOOKUP($G24,AUXILIAR!$E$3:$G$27,3,FALSE),
IF($R24="PLASMA",
   VLOOKUP($G24,AUXILIAR!$K$6:$M$28,3,FALSE),
0)),
0)</f>
        <v>12750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0.75</v>
      </c>
      <c r="BE24" s="89">
        <f t="shared" si="30"/>
        <v>9562.5</v>
      </c>
      <c r="BF24" s="91">
        <f t="shared" si="31"/>
        <v>1.5000000000000001E-2</v>
      </c>
      <c r="BG24" s="91">
        <f t="shared" si="32"/>
        <v>3.3333333333333333E-2</v>
      </c>
      <c r="BH24" s="201">
        <f t="shared" si="33"/>
        <v>0.34072549019607845</v>
      </c>
    </row>
    <row r="25" spans="1:60" x14ac:dyDescent="0.35">
      <c r="A25" s="85">
        <v>3253</v>
      </c>
      <c r="B25" s="85" t="s">
        <v>213</v>
      </c>
      <c r="C25" s="85">
        <v>1</v>
      </c>
      <c r="D25" s="85" t="s">
        <v>44</v>
      </c>
      <c r="E25" s="86">
        <v>0</v>
      </c>
      <c r="F25" s="86"/>
      <c r="G25" s="86">
        <v>3</v>
      </c>
      <c r="H25" s="87">
        <v>200</v>
      </c>
      <c r="I25" s="87">
        <v>170</v>
      </c>
      <c r="J25" s="85"/>
      <c r="K25" s="99">
        <v>1200</v>
      </c>
      <c r="L25" s="90">
        <f t="shared" si="0"/>
        <v>0.80069999999999997</v>
      </c>
      <c r="M25" s="198">
        <f t="shared" si="1"/>
        <v>0.80069999999999997</v>
      </c>
      <c r="N25" s="91">
        <f t="shared" si="2"/>
        <v>5.8039215686274508E-2</v>
      </c>
      <c r="O25" s="211">
        <f>IF(L25="",0,IFERROR(IF($M$2="ESTUDO",BH25,N25)+INDEX(AUXILIAR!$AO$3:$AO$8,MATCH(L25,{0;2;5;10;20;50},1))*1440,IF(M25="ESTUDO",BH25,N25)))</f>
        <v>5.9906427015250543</v>
      </c>
      <c r="P25" s="100">
        <f t="shared" si="3"/>
        <v>8.4</v>
      </c>
      <c r="Q25" s="100">
        <f t="shared" si="4"/>
        <v>8.4</v>
      </c>
      <c r="R25" s="92" t="s">
        <v>0</v>
      </c>
      <c r="S25" s="88">
        <f t="shared" si="5"/>
        <v>10.5</v>
      </c>
      <c r="T25" s="100">
        <f>((AM25/(1+AUXILIAR!$BJ$4))-((AM25/(1+AUXILIAR!$BJ$4))*AUXILIAR!$BK$4))-(((AM25/(1+AUXILIAR!$BJ$4))-((AM25/(1+AUXILIAR!$BJ$4))*AUXILIAR!$BK$4))*((AUXILIAR!$BL$4+AUXILIAR!$BM$4)))</f>
        <v>3.867312348668281</v>
      </c>
      <c r="U25" s="100">
        <f>((S25/(1+AUXILIAR!$BJ$7))-((S25/(1+AUXILIAR!$BJ$7))*AUXILIAR!$BK$7))-(((S25/(1+AUXILIAR!$BJ$7))-((S25/(1+AUXILIAR!$BJ$7))*AUXILIAR!$BK$7))*((AUXILIAR!$BL$7+AUXILIAR!$BM$7)))</f>
        <v>8.3853000000000009</v>
      </c>
      <c r="V25" s="101">
        <f>AM25-(AM25/(1+AUXILIAR!$BJ$4))</f>
        <v>0.15738498789346256</v>
      </c>
      <c r="W25" s="102">
        <f>(AM25-V25)*AUXILIAR!$BK$4</f>
        <v>0.58111380145278446</v>
      </c>
      <c r="X25" s="102">
        <f>(AM25-V25-W25)*(AUXILIAR!$BL$4+AUXILIAR!$BM$4)</f>
        <v>0.39418886198547215</v>
      </c>
      <c r="Y25" s="102">
        <f>X25-(X25/(1+AUXILIAR!$BJ$7))</f>
        <v>0</v>
      </c>
      <c r="Z25" s="102">
        <f>(S25-Y25)*AUXILIAR!$BK$7</f>
        <v>1.26</v>
      </c>
      <c r="AA25" s="102">
        <f>(S25-Y25-Z25)*(AUXILIAR!$BL$7+AUXILIAR!$BM$7)</f>
        <v>0.85470000000000002</v>
      </c>
      <c r="AB25" s="103">
        <f t="shared" si="6"/>
        <v>0.15738498789346256</v>
      </c>
      <c r="AC25" s="103">
        <f t="shared" si="7"/>
        <v>-0.67888619854721555</v>
      </c>
      <c r="AD25" s="103">
        <f t="shared" si="8"/>
        <v>-0.46051113801452787</v>
      </c>
      <c r="AE25" s="103">
        <f t="shared" si="9"/>
        <v>-0.9820123486682808</v>
      </c>
      <c r="AF25" s="103">
        <f t="shared" si="10"/>
        <v>8.4073499999999992</v>
      </c>
      <c r="AG25" s="102">
        <f t="shared" si="11"/>
        <v>2.1345795263317191</v>
      </c>
      <c r="AH25" s="100">
        <f t="shared" si="12"/>
        <v>1.7091578267338075</v>
      </c>
      <c r="AI25" s="104">
        <f t="shared" si="13"/>
        <v>0.20329328822206849</v>
      </c>
      <c r="AJ25" s="100">
        <f t="shared" si="29"/>
        <v>11.90139577633172</v>
      </c>
      <c r="AK25" s="100">
        <f t="shared" si="14"/>
        <v>9.529447598108808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5</v>
      </c>
      <c r="AN25" s="100">
        <f t="shared" si="15"/>
        <v>4.5179876513317199</v>
      </c>
      <c r="AO25" s="100">
        <f t="shared" si="16"/>
        <v>0.21</v>
      </c>
      <c r="AP25" s="100">
        <f t="shared" si="17"/>
        <v>0.26</v>
      </c>
      <c r="AQ25" s="212">
        <f>IFERROR(INDEX(AUXILIAR!$AG$3:$AG$28,MATCH(G25,AUXILIAR!$AH$3:$AH$28,1))*AM25,0)</f>
        <v>0.9134081249999999</v>
      </c>
      <c r="AR25" s="105">
        <f>IF(R25="GUILHOTINA",IFERROR(VLOOKUP(G25,AUXILIAR!$Q:$S,3,FALSE),""),IF(R25="LASER",IFERROR(VLOOKUP(G25,AUXILIAR!$E:$I,3,FALSE),""),IF(R25="PLASMA",IFERROR(VLOOKUP(G25,AUXILIAR!$K:$O,3,FALSE),""),"")))</f>
        <v>12750</v>
      </c>
      <c r="AS25" s="89">
        <f t="shared" si="18"/>
        <v>34000</v>
      </c>
      <c r="AT25" s="89">
        <f t="shared" si="19"/>
        <v>34000</v>
      </c>
      <c r="AU25" s="89">
        <f t="shared" si="20"/>
        <v>740</v>
      </c>
      <c r="AV25" s="89">
        <f t="shared" si="21"/>
        <v>740</v>
      </c>
      <c r="AW25" s="89">
        <f t="shared" si="22"/>
        <v>740</v>
      </c>
      <c r="AX25" s="89">
        <f>IFERROR(
IF($R25="LASER",
   VLOOKUP($G25,AUXILIAR!$E$3:$G$27,3,FALSE),
IF($R25="PLASMA",
   VLOOKUP($G25,AUXILIAR!$K$6:$M$28,3,FALSE),
0)),
0)</f>
        <v>12750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0.45</v>
      </c>
      <c r="BE25" s="89">
        <f t="shared" si="30"/>
        <v>5737.5</v>
      </c>
      <c r="BF25" s="91">
        <f t="shared" si="31"/>
        <v>1.5000000000000001E-2</v>
      </c>
      <c r="BG25" s="91">
        <f t="shared" si="32"/>
        <v>1.3333333333333334E-2</v>
      </c>
      <c r="BH25" s="201">
        <f t="shared" si="33"/>
        <v>0.15730936819172114</v>
      </c>
    </row>
    <row r="26" spans="1:60" x14ac:dyDescent="0.35">
      <c r="A26" s="85">
        <v>3253</v>
      </c>
      <c r="B26" s="85" t="s">
        <v>214</v>
      </c>
      <c r="C26" s="85">
        <v>1</v>
      </c>
      <c r="D26" s="85" t="s">
        <v>44</v>
      </c>
      <c r="E26" s="86">
        <v>0</v>
      </c>
      <c r="F26" s="86"/>
      <c r="G26" s="86">
        <v>3</v>
      </c>
      <c r="H26" s="87">
        <v>200</v>
      </c>
      <c r="I26" s="87">
        <v>192</v>
      </c>
      <c r="J26" s="85"/>
      <c r="K26" s="99">
        <v>1200</v>
      </c>
      <c r="L26" s="90">
        <f t="shared" si="0"/>
        <v>0.90432000000000001</v>
      </c>
      <c r="M26" s="198">
        <f t="shared" si="1"/>
        <v>0.90432000000000001</v>
      </c>
      <c r="N26" s="91">
        <f t="shared" si="2"/>
        <v>6.1490196078431369E-2</v>
      </c>
      <c r="O26" s="211">
        <f>IF(L26="",0,IFERROR(IF($M$2="ESTUDO",BH26,N26)+INDEX(AUXILIAR!$AO$3:$AO$8,MATCH(L26,{0;2;5;10;20;50},1))*1440,IF(M26="ESTUDO",BH26,N26)))</f>
        <v>5.9983115468409585</v>
      </c>
      <c r="P26" s="100">
        <f t="shared" si="3"/>
        <v>9.4500000000000011</v>
      </c>
      <c r="Q26" s="100">
        <f t="shared" si="4"/>
        <v>9.4500000000000011</v>
      </c>
      <c r="R26" s="92" t="s">
        <v>0</v>
      </c>
      <c r="S26" s="88">
        <f t="shared" si="5"/>
        <v>10.5</v>
      </c>
      <c r="T26" s="100">
        <f>((AM26/(1+AUXILIAR!$BJ$4))-((AM26/(1+AUXILIAR!$BJ$4))*AUXILIAR!$BK$4))-(((AM26/(1+AUXILIAR!$BJ$4))-((AM26/(1+AUXILIAR!$BJ$4))*AUXILIAR!$BK$4))*((AUXILIAR!$BL$4+AUXILIAR!$BM$4)))</f>
        <v>3.867312348668281</v>
      </c>
      <c r="U26" s="100">
        <f>((S26/(1+AUXILIAR!$BJ$7))-((S26/(1+AUXILIAR!$BJ$7))*AUXILIAR!$BK$7))-(((S26/(1+AUXILIAR!$BJ$7))-((S26/(1+AUXILIAR!$BJ$7))*AUXILIAR!$BK$7))*((AUXILIAR!$BL$7+AUXILIAR!$BM$7)))</f>
        <v>8.3853000000000009</v>
      </c>
      <c r="V26" s="101">
        <f>AM26-(AM26/(1+AUXILIAR!$BJ$4))</f>
        <v>0.15738498789346256</v>
      </c>
      <c r="W26" s="102">
        <f>(AM26-V26)*AUXILIAR!$BK$4</f>
        <v>0.58111380145278446</v>
      </c>
      <c r="X26" s="102">
        <f>(AM26-V26-W26)*(AUXILIAR!$BL$4+AUXILIAR!$BM$4)</f>
        <v>0.39418886198547215</v>
      </c>
      <c r="Y26" s="102">
        <f>X26-(X26/(1+AUXILIAR!$BJ$7))</f>
        <v>0</v>
      </c>
      <c r="Z26" s="102">
        <f>(S26-Y26)*AUXILIAR!$BK$7</f>
        <v>1.26</v>
      </c>
      <c r="AA26" s="102">
        <f>(S26-Y26-Z26)*(AUXILIAR!$BL$7+AUXILIAR!$BM$7)</f>
        <v>0.85470000000000002</v>
      </c>
      <c r="AB26" s="103">
        <f t="shared" si="6"/>
        <v>0.15738498789346256</v>
      </c>
      <c r="AC26" s="103">
        <f t="shared" si="7"/>
        <v>-0.67888619854721555</v>
      </c>
      <c r="AD26" s="103">
        <f t="shared" si="8"/>
        <v>-0.46051113801452787</v>
      </c>
      <c r="AE26" s="103">
        <f t="shared" si="9"/>
        <v>-0.9820123486682808</v>
      </c>
      <c r="AF26" s="103">
        <f t="shared" si="10"/>
        <v>9.4953599999999998</v>
      </c>
      <c r="AG26" s="102">
        <f t="shared" si="11"/>
        <v>2.1345795263317191</v>
      </c>
      <c r="AH26" s="100">
        <f t="shared" si="12"/>
        <v>1.9303429572523003</v>
      </c>
      <c r="AI26" s="104">
        <f t="shared" si="13"/>
        <v>0.20329328822206849</v>
      </c>
      <c r="AJ26" s="100">
        <f t="shared" si="29"/>
        <v>11.90139577633172</v>
      </c>
      <c r="AK26" s="100">
        <f t="shared" si="14"/>
        <v>10.762670228452301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5</v>
      </c>
      <c r="AN26" s="100">
        <f t="shared" si="15"/>
        <v>4.5179876513317199</v>
      </c>
      <c r="AO26" s="100">
        <f t="shared" si="16"/>
        <v>0.21</v>
      </c>
      <c r="AP26" s="100">
        <f t="shared" si="17"/>
        <v>0.26</v>
      </c>
      <c r="AQ26" s="212">
        <f>IFERROR(INDEX(AUXILIAR!$AG$3:$AG$28,MATCH(G26,AUXILIAR!$AH$3:$AH$28,1))*AM26,0)</f>
        <v>0.9134081249999999</v>
      </c>
      <c r="AR26" s="105">
        <f>IF(R26="GUILHOTINA",IFERROR(VLOOKUP(G26,AUXILIAR!$Q:$S,3,FALSE),""),IF(R26="LASER",IFERROR(VLOOKUP(G26,AUXILIAR!$E:$I,3,FALSE),""),IF(R26="PLASMA",IFERROR(VLOOKUP(G26,AUXILIAR!$K:$O,3,FALSE),""),"")))</f>
        <v>12750</v>
      </c>
      <c r="AS26" s="89">
        <f t="shared" si="18"/>
        <v>38400</v>
      </c>
      <c r="AT26" s="89">
        <f t="shared" si="19"/>
        <v>38400</v>
      </c>
      <c r="AU26" s="89">
        <f t="shared" si="20"/>
        <v>784</v>
      </c>
      <c r="AV26" s="89">
        <f t="shared" si="21"/>
        <v>784</v>
      </c>
      <c r="AW26" s="89">
        <f t="shared" si="22"/>
        <v>784</v>
      </c>
      <c r="AX26" s="89">
        <f>IFERROR(
IF($R26="LASER",
   VLOOKUP($G26,AUXILIAR!$E$3:$G$27,3,FALSE),
IF($R26="PLASMA",
   VLOOKUP($G26,AUXILIAR!$K$6:$M$28,3,FALSE),
0)),
0)</f>
        <v>12750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0.45</v>
      </c>
      <c r="BE26" s="89">
        <f t="shared" si="30"/>
        <v>5737.5</v>
      </c>
      <c r="BF26" s="91">
        <f t="shared" si="31"/>
        <v>1.5000000000000001E-2</v>
      </c>
      <c r="BG26" s="91">
        <f t="shared" si="32"/>
        <v>1.3333333333333334E-2</v>
      </c>
      <c r="BH26" s="201">
        <f t="shared" si="33"/>
        <v>0.16497821350762529</v>
      </c>
    </row>
    <row r="27" spans="1:60" x14ac:dyDescent="0.35">
      <c r="A27" s="85">
        <v>3253</v>
      </c>
      <c r="B27" s="85" t="s">
        <v>215</v>
      </c>
      <c r="C27" s="85">
        <v>2</v>
      </c>
      <c r="D27" s="85" t="s">
        <v>44</v>
      </c>
      <c r="E27" s="86">
        <v>3</v>
      </c>
      <c r="F27" s="86">
        <v>15</v>
      </c>
      <c r="G27" s="86">
        <v>7.94</v>
      </c>
      <c r="H27" s="87">
        <v>200</v>
      </c>
      <c r="I27" s="87">
        <v>50</v>
      </c>
      <c r="J27" s="85"/>
      <c r="K27" s="99">
        <v>1200</v>
      </c>
      <c r="L27" s="90">
        <f t="shared" si="0"/>
        <v>0.62329000000000001</v>
      </c>
      <c r="M27" s="198">
        <f t="shared" si="1"/>
        <v>1.24658</v>
      </c>
      <c r="N27" s="91">
        <f t="shared" si="2"/>
        <v>1.2917987572188441</v>
      </c>
      <c r="O27" s="211">
        <f>IF(L27="",0,IFERROR(IF($M$2="ESTUDO",BH27,N27)+INDEX(AUXILIAR!$AO$3:$AO$8,MATCH(L27,{0;2;5;10;20;50},1))*1440,IF(M27="ESTUDO",BH27,N27)))</f>
        <v>8.1604863432238748</v>
      </c>
      <c r="P27" s="100">
        <f t="shared" si="3"/>
        <v>6.5625</v>
      </c>
      <c r="Q27" s="100">
        <f t="shared" si="4"/>
        <v>13.125</v>
      </c>
      <c r="R27" s="92" t="s">
        <v>0</v>
      </c>
      <c r="S27" s="88">
        <f t="shared" si="5"/>
        <v>10.5</v>
      </c>
      <c r="T27" s="100">
        <f>((AM27/(1+AUXILIAR!$BJ$4))-((AM27/(1+AUXILIAR!$BJ$4))*AUXILIAR!$BK$4))-(((AM27/(1+AUXILIAR!$BJ$4))-((AM27/(1+AUXILIAR!$BJ$4))*AUXILIAR!$BK$4))*((AUXILIAR!$BL$4+AUXILIAR!$BM$4)))</f>
        <v>3.867312348668281</v>
      </c>
      <c r="U27" s="100">
        <f>((S27/(1+AUXILIAR!$BJ$7))-((S27/(1+AUXILIAR!$BJ$7))*AUXILIAR!$BK$7))-(((S27/(1+AUXILIAR!$BJ$7))-((S27/(1+AUXILIAR!$BJ$7))*AUXILIAR!$BK$7))*((AUXILIAR!$BL$7+AUXILIAR!$BM$7)))</f>
        <v>8.3853000000000009</v>
      </c>
      <c r="V27" s="101">
        <f>AM27-(AM27/(1+AUXILIAR!$BJ$4))</f>
        <v>0.15738498789346256</v>
      </c>
      <c r="W27" s="102">
        <f>(AM27-V27)*AUXILIAR!$BK$4</f>
        <v>0.58111380145278446</v>
      </c>
      <c r="X27" s="102">
        <f>(AM27-V27-W27)*(AUXILIAR!$BL$4+AUXILIAR!$BM$4)</f>
        <v>0.39418886198547215</v>
      </c>
      <c r="Y27" s="102">
        <f>X27-(X27/(1+AUXILIAR!$BJ$7))</f>
        <v>0</v>
      </c>
      <c r="Z27" s="102">
        <f>(S27-Y27)*AUXILIAR!$BK$7</f>
        <v>1.26</v>
      </c>
      <c r="AA27" s="102">
        <f>(S27-Y27-Z27)*(AUXILIAR!$BL$7+AUXILIAR!$BM$7)</f>
        <v>0.85470000000000002</v>
      </c>
      <c r="AB27" s="103">
        <f t="shared" si="6"/>
        <v>0.15738498789346256</v>
      </c>
      <c r="AC27" s="103">
        <f t="shared" si="7"/>
        <v>-0.67888619854721555</v>
      </c>
      <c r="AD27" s="103">
        <f t="shared" si="8"/>
        <v>-0.46051113801452787</v>
      </c>
      <c r="AE27" s="103">
        <f t="shared" si="9"/>
        <v>-0.9820123486682808</v>
      </c>
      <c r="AF27" s="103">
        <f t="shared" si="10"/>
        <v>13.089090000000001</v>
      </c>
      <c r="AG27" s="102">
        <f t="shared" si="11"/>
        <v>0.98926890133171863</v>
      </c>
      <c r="AH27" s="100">
        <f t="shared" si="12"/>
        <v>1.2332028270220938</v>
      </c>
      <c r="AI27" s="104">
        <f t="shared" si="13"/>
        <v>9.4216085841116057E-2</v>
      </c>
      <c r="AJ27" s="100">
        <f t="shared" si="29"/>
        <v>13.046706401331722</v>
      </c>
      <c r="AK27" s="100">
        <f t="shared" si="14"/>
        <v>16.263763265772099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5</v>
      </c>
      <c r="AN27" s="100">
        <f t="shared" si="15"/>
        <v>4.5179876513317199</v>
      </c>
      <c r="AO27" s="100">
        <f t="shared" si="16"/>
        <v>0.21</v>
      </c>
      <c r="AP27" s="100">
        <f t="shared" si="17"/>
        <v>0.26</v>
      </c>
      <c r="AQ27" s="212">
        <f>IFERROR(INDEX(AUXILIAR!$AG$3:$AG$28,MATCH(G27,AUXILIAR!$AH$3:$AH$28,1))*AM27,0)</f>
        <v>2.0587187500000006</v>
      </c>
      <c r="AR27" s="105">
        <f>IF(R27="GUILHOTINA",IFERROR(VLOOKUP(G27,AUXILIAR!$Q:$S,3,FALSE),""),IF(R27="LASER",IFERROR(VLOOKUP(G27,AUXILIAR!$E:$I,3,FALSE),""),IF(R27="PLASMA",IFERROR(VLOOKUP(G27,AUXILIAR!$K:$O,3,FALSE),""),"")))</f>
        <v>1870</v>
      </c>
      <c r="AS27" s="89">
        <f t="shared" si="18"/>
        <v>10000</v>
      </c>
      <c r="AT27" s="89">
        <f t="shared" si="19"/>
        <v>20000</v>
      </c>
      <c r="AU27" s="89">
        <f t="shared" si="20"/>
        <v>1339.2920065876976</v>
      </c>
      <c r="AV27" s="89">
        <f t="shared" si="21"/>
        <v>669.64600329384882</v>
      </c>
      <c r="AW27" s="89">
        <f t="shared" si="22"/>
        <v>1339.2920065876976</v>
      </c>
      <c r="AX27" s="89">
        <f>IFERROR(
IF($R27="LASER",
   VLOOKUP($G27,AUXILIAR!$E$3:$G$27,3,FALSE),
IF($R27="PLASMA",
   VLOOKUP($G27,AUXILIAR!$K$6:$M$28,3,FALSE),
0)),
0)</f>
        <v>1870</v>
      </c>
      <c r="AY27" s="89">
        <f t="shared" si="23"/>
        <v>141.37166941154067</v>
      </c>
      <c r="AZ27" s="89">
        <f t="shared" si="24"/>
        <v>1870</v>
      </c>
      <c r="BA27" s="201">
        <f t="shared" si="25"/>
        <v>7.5599823214727635E-2</v>
      </c>
      <c r="BB27" s="201">
        <f t="shared" si="26"/>
        <v>0.16666666666666666</v>
      </c>
      <c r="BC27" s="201">
        <f t="shared" si="27"/>
        <v>0.57559982321472769</v>
      </c>
      <c r="BD27" s="201">
        <f t="shared" si="34"/>
        <v>0.45</v>
      </c>
      <c r="BE27" s="89">
        <f t="shared" si="30"/>
        <v>841.5</v>
      </c>
      <c r="BF27" s="91">
        <f t="shared" si="31"/>
        <v>0.14666666666666667</v>
      </c>
      <c r="BG27" s="91">
        <f t="shared" si="32"/>
        <v>1.3333333333333334E-2</v>
      </c>
      <c r="BH27" s="201">
        <f t="shared" si="33"/>
        <v>2.3271530098905417</v>
      </c>
    </row>
    <row r="28" spans="1:60" x14ac:dyDescent="0.35">
      <c r="A28" s="85">
        <v>3253</v>
      </c>
      <c r="B28" s="85" t="s">
        <v>216</v>
      </c>
      <c r="C28" s="85">
        <v>2</v>
      </c>
      <c r="D28" s="85" t="s">
        <v>44</v>
      </c>
      <c r="E28" s="86">
        <v>2</v>
      </c>
      <c r="F28" s="86">
        <v>15</v>
      </c>
      <c r="G28" s="86">
        <v>7.94</v>
      </c>
      <c r="H28" s="87">
        <v>200</v>
      </c>
      <c r="I28" s="87">
        <v>60</v>
      </c>
      <c r="J28" s="85"/>
      <c r="K28" s="99">
        <v>1200</v>
      </c>
      <c r="L28" s="90">
        <f t="shared" si="0"/>
        <v>0.74794799999999995</v>
      </c>
      <c r="M28" s="198">
        <f t="shared" si="1"/>
        <v>1.4958959999999999</v>
      </c>
      <c r="N28" s="91">
        <f t="shared" si="2"/>
        <v>1.06084266524037</v>
      </c>
      <c r="O28" s="211">
        <f>IF(L28="",0,IFERROR(IF($M$2="ESTUDO",BH28,N28)+INDEX(AUXILIAR!$AO$3:$AO$8,MATCH(L28,{0;2;5;10;20;50},1))*1440,IF(M28="ESTUDO",BH28,N28)))</f>
        <v>7.8450875482851181</v>
      </c>
      <c r="P28" s="100">
        <f t="shared" si="3"/>
        <v>7.875</v>
      </c>
      <c r="Q28" s="100">
        <f t="shared" si="4"/>
        <v>15.75</v>
      </c>
      <c r="R28" s="92" t="s">
        <v>0</v>
      </c>
      <c r="S28" s="88">
        <f t="shared" si="5"/>
        <v>10.5</v>
      </c>
      <c r="T28" s="100">
        <f>((AM28/(1+AUXILIAR!$BJ$4))-((AM28/(1+AUXILIAR!$BJ$4))*AUXILIAR!$BK$4))-(((AM28/(1+AUXILIAR!$BJ$4))-((AM28/(1+AUXILIAR!$BJ$4))*AUXILIAR!$BK$4))*((AUXILIAR!$BL$4+AUXILIAR!$BM$4)))</f>
        <v>3.867312348668281</v>
      </c>
      <c r="U28" s="100">
        <f>((S28/(1+AUXILIAR!$BJ$7))-((S28/(1+AUXILIAR!$BJ$7))*AUXILIAR!$BK$7))-(((S28/(1+AUXILIAR!$BJ$7))-((S28/(1+AUXILIAR!$BJ$7))*AUXILIAR!$BK$7))*((AUXILIAR!$BL$7+AUXILIAR!$BM$7)))</f>
        <v>8.3853000000000009</v>
      </c>
      <c r="V28" s="101">
        <f>AM28-(AM28/(1+AUXILIAR!$BJ$4))</f>
        <v>0.15738498789346256</v>
      </c>
      <c r="W28" s="102">
        <f>(AM28-V28)*AUXILIAR!$BK$4</f>
        <v>0.58111380145278446</v>
      </c>
      <c r="X28" s="102">
        <f>(AM28-V28-W28)*(AUXILIAR!$BL$4+AUXILIAR!$BM$4)</f>
        <v>0.39418886198547215</v>
      </c>
      <c r="Y28" s="102">
        <f>X28-(X28/(1+AUXILIAR!$BJ$7))</f>
        <v>0</v>
      </c>
      <c r="Z28" s="102">
        <f>(S28-Y28)*AUXILIAR!$BK$7</f>
        <v>1.26</v>
      </c>
      <c r="AA28" s="102">
        <f>(S28-Y28-Z28)*(AUXILIAR!$BL$7+AUXILIAR!$BM$7)</f>
        <v>0.85470000000000002</v>
      </c>
      <c r="AB28" s="103">
        <f t="shared" si="6"/>
        <v>0.15738498789346256</v>
      </c>
      <c r="AC28" s="103">
        <f t="shared" si="7"/>
        <v>-0.67888619854721555</v>
      </c>
      <c r="AD28" s="103">
        <f t="shared" si="8"/>
        <v>-0.46051113801452787</v>
      </c>
      <c r="AE28" s="103">
        <f t="shared" si="9"/>
        <v>-0.9820123486682808</v>
      </c>
      <c r="AF28" s="103">
        <f t="shared" si="10"/>
        <v>15.706907999999999</v>
      </c>
      <c r="AG28" s="102">
        <f t="shared" si="11"/>
        <v>0.98926890133171863</v>
      </c>
      <c r="AH28" s="100">
        <f t="shared" si="12"/>
        <v>1.4798433924265124</v>
      </c>
      <c r="AI28" s="104">
        <f t="shared" si="13"/>
        <v>9.4216085841116057E-2</v>
      </c>
      <c r="AJ28" s="100">
        <f t="shared" si="29"/>
        <v>13.046706401331722</v>
      </c>
      <c r="AK28" s="100">
        <f t="shared" si="14"/>
        <v>19.516515918926515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5</v>
      </c>
      <c r="AN28" s="100">
        <f t="shared" si="15"/>
        <v>4.5179876513317199</v>
      </c>
      <c r="AO28" s="100">
        <f t="shared" si="16"/>
        <v>0.21</v>
      </c>
      <c r="AP28" s="100">
        <f t="shared" si="17"/>
        <v>0.26</v>
      </c>
      <c r="AQ28" s="212">
        <f>IFERROR(INDEX(AUXILIAR!$AG$3:$AG$28,MATCH(G28,AUXILIAR!$AH$3:$AH$28,1))*AM28,0)</f>
        <v>2.0587187500000006</v>
      </c>
      <c r="AR28" s="105">
        <f>IF(R28="GUILHOTINA",IFERROR(VLOOKUP(G28,AUXILIAR!$Q:$S,3,FALSE),""),IF(R28="LASER",IFERROR(VLOOKUP(G28,AUXILIAR!$E:$I,3,FALSE),""),IF(R28="PLASMA",IFERROR(VLOOKUP(G28,AUXILIAR!$K:$O,3,FALSE),""),"")))</f>
        <v>1870</v>
      </c>
      <c r="AS28" s="89">
        <f t="shared" si="18"/>
        <v>12000</v>
      </c>
      <c r="AT28" s="89">
        <f t="shared" si="19"/>
        <v>24000</v>
      </c>
      <c r="AU28" s="89">
        <f t="shared" si="20"/>
        <v>1266.194671058465</v>
      </c>
      <c r="AV28" s="89">
        <f t="shared" si="21"/>
        <v>633.09733552923251</v>
      </c>
      <c r="AW28" s="89">
        <f t="shared" si="22"/>
        <v>1266.194671058465</v>
      </c>
      <c r="AX28" s="89">
        <f>IFERROR(
IF($R28="LASER",
   VLOOKUP($G28,AUXILIAR!$E$3:$G$27,3,FALSE),
IF($R28="PLASMA",
   VLOOKUP($G28,AUXILIAR!$K$6:$M$28,3,FALSE),
0)),
0)</f>
        <v>1870</v>
      </c>
      <c r="AY28" s="89">
        <f t="shared" si="23"/>
        <v>94.247779607693786</v>
      </c>
      <c r="AZ28" s="89">
        <f t="shared" si="24"/>
        <v>1870</v>
      </c>
      <c r="BA28" s="201">
        <f t="shared" si="25"/>
        <v>5.0399882143151754E-2</v>
      </c>
      <c r="BB28" s="201">
        <f t="shared" si="26"/>
        <v>0.16666666666666666</v>
      </c>
      <c r="BC28" s="201">
        <f t="shared" si="27"/>
        <v>0.38373321547648509</v>
      </c>
      <c r="BD28" s="201">
        <f t="shared" si="34"/>
        <v>0.45</v>
      </c>
      <c r="BE28" s="89">
        <f t="shared" si="30"/>
        <v>841.5</v>
      </c>
      <c r="BF28" s="91">
        <f t="shared" si="31"/>
        <v>0.11</v>
      </c>
      <c r="BG28" s="91">
        <f t="shared" si="32"/>
        <v>1.3333333333333334E-2</v>
      </c>
      <c r="BH28" s="201">
        <f t="shared" si="33"/>
        <v>2.0117542149517855</v>
      </c>
    </row>
    <row r="29" spans="1:60" x14ac:dyDescent="0.35">
      <c r="A29" s="85">
        <v>3253</v>
      </c>
      <c r="B29" s="85" t="s">
        <v>217</v>
      </c>
      <c r="C29" s="85">
        <v>8</v>
      </c>
      <c r="D29" s="85" t="s">
        <v>44</v>
      </c>
      <c r="E29" s="86">
        <v>0</v>
      </c>
      <c r="F29" s="86"/>
      <c r="G29" s="86">
        <v>6.35</v>
      </c>
      <c r="H29" s="87">
        <v>187</v>
      </c>
      <c r="I29" s="87">
        <v>48</v>
      </c>
      <c r="J29" s="85"/>
      <c r="K29" s="99">
        <v>1200</v>
      </c>
      <c r="L29" s="90">
        <f t="shared" si="0"/>
        <v>0.44743115999999999</v>
      </c>
      <c r="M29" s="198">
        <f t="shared" si="1"/>
        <v>3.57944928</v>
      </c>
      <c r="N29" s="91">
        <f t="shared" si="2"/>
        <v>1.8431372549019607</v>
      </c>
      <c r="O29" s="211">
        <f>IF(L29="",0,IFERROR(IF($M$2="ESTUDO",BH29,N29)+INDEX(AUXILIAR!$AO$3:$AO$8,MATCH(L29,{0;2;5;10;20;50},1))*1440,IF(M29="ESTUDO",BH29,N29)))</f>
        <v>9.9675272331154687</v>
      </c>
      <c r="P29" s="100">
        <f t="shared" si="3"/>
        <v>4.6987500000000004</v>
      </c>
      <c r="Q29" s="100">
        <f t="shared" si="4"/>
        <v>37.590000000000003</v>
      </c>
      <c r="R29" s="92" t="s">
        <v>0</v>
      </c>
      <c r="S29" s="88">
        <f t="shared" si="5"/>
        <v>10.5</v>
      </c>
      <c r="T29" s="100">
        <f>((AM29/(1+AUXILIAR!$BJ$4))-((AM29/(1+AUXILIAR!$BJ$4))*AUXILIAR!$BK$4))-(((AM29/(1+AUXILIAR!$BJ$4))-((AM29/(1+AUXILIAR!$BJ$4))*AUXILIAR!$BK$4))*((AUXILIAR!$BL$4+AUXILIAR!$BM$4)))</f>
        <v>3.867312348668281</v>
      </c>
      <c r="U29" s="100">
        <f>((S29/(1+AUXILIAR!$BJ$7))-((S29/(1+AUXILIAR!$BJ$7))*AUXILIAR!$BK$7))-(((S29/(1+AUXILIAR!$BJ$7))-((S29/(1+AUXILIAR!$BJ$7))*AUXILIAR!$BK$7))*((AUXILIAR!$BL$7+AUXILIAR!$BM$7)))</f>
        <v>8.3853000000000009</v>
      </c>
      <c r="V29" s="101">
        <f>AM29-(AM29/(1+AUXILIAR!$BJ$4))</f>
        <v>0.15738498789346256</v>
      </c>
      <c r="W29" s="102">
        <f>(AM29-V29)*AUXILIAR!$BK$4</f>
        <v>0.58111380145278446</v>
      </c>
      <c r="X29" s="102">
        <f>(AM29-V29-W29)*(AUXILIAR!$BL$4+AUXILIAR!$BM$4)</f>
        <v>0.39418886198547215</v>
      </c>
      <c r="Y29" s="102">
        <f>X29-(X29/(1+AUXILIAR!$BJ$7))</f>
        <v>0</v>
      </c>
      <c r="Z29" s="102">
        <f>(S29-Y29)*AUXILIAR!$BK$7</f>
        <v>1.26</v>
      </c>
      <c r="AA29" s="102">
        <f>(S29-Y29-Z29)*(AUXILIAR!$BL$7+AUXILIAR!$BM$7)</f>
        <v>0.85470000000000002</v>
      </c>
      <c r="AB29" s="103">
        <f t="shared" si="6"/>
        <v>0.15738498789346256</v>
      </c>
      <c r="AC29" s="103">
        <f t="shared" si="7"/>
        <v>-0.67888619854721555</v>
      </c>
      <c r="AD29" s="103">
        <f t="shared" si="8"/>
        <v>-0.46051113801452787</v>
      </c>
      <c r="AE29" s="103">
        <f t="shared" si="9"/>
        <v>-0.9820123486682808</v>
      </c>
      <c r="AF29" s="103">
        <f t="shared" si="10"/>
        <v>37.584217439999996</v>
      </c>
      <c r="AG29" s="102">
        <f t="shared" si="11"/>
        <v>2.5479876513317192</v>
      </c>
      <c r="AH29" s="100">
        <f t="shared" si="12"/>
        <v>9.1203925640082133</v>
      </c>
      <c r="AI29" s="104">
        <f t="shared" si="13"/>
        <v>0.24266549060302087</v>
      </c>
      <c r="AJ29" s="100">
        <f t="shared" si="29"/>
        <v>11.48798765133172</v>
      </c>
      <c r="AK29" s="100">
        <f t="shared" si="14"/>
        <v>41.120669127208217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5</v>
      </c>
      <c r="AN29" s="100">
        <f t="shared" si="15"/>
        <v>4.5179876513317199</v>
      </c>
      <c r="AO29" s="100">
        <f t="shared" si="16"/>
        <v>0.21</v>
      </c>
      <c r="AP29" s="100">
        <f t="shared" si="17"/>
        <v>0.26</v>
      </c>
      <c r="AQ29" s="212">
        <f>IFERROR(INDEX(AUXILIAR!$AG$3:$AG$28,MATCH(G29,AUXILIAR!$AH$3:$AH$28,1))*AM29,0)</f>
        <v>0.5</v>
      </c>
      <c r="AR29" s="105">
        <f>IF(R29="GUILHOTINA",IFERROR(VLOOKUP(G29,AUXILIAR!$Q:$S,3,FALSE),""),IF(R29="LASER",IFERROR(VLOOKUP(G29,AUXILIAR!$E:$I,3,FALSE),""),IF(R29="PLASMA",IFERROR(VLOOKUP(G29,AUXILIAR!$K:$O,3,FALSE),""),"")))</f>
        <v>2040</v>
      </c>
      <c r="AS29" s="89">
        <f t="shared" si="18"/>
        <v>8976</v>
      </c>
      <c r="AT29" s="89">
        <f t="shared" si="19"/>
        <v>71808</v>
      </c>
      <c r="AU29" s="89">
        <f t="shared" si="20"/>
        <v>3760</v>
      </c>
      <c r="AV29" s="89">
        <f t="shared" si="21"/>
        <v>470</v>
      </c>
      <c r="AW29" s="89">
        <f t="shared" si="22"/>
        <v>3760</v>
      </c>
      <c r="AX29" s="89">
        <f>IFERROR(
IF($R29="LASER",
   VLOOKUP($G29,AUXILIAR!$E$3:$G$27,3,FALSE),
IF($R29="PLASMA",
   VLOOKUP($G29,AUXILIAR!$K$6:$M$28,3,FALSE),
0)),
0)</f>
        <v>2040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0.45</v>
      </c>
      <c r="BE29" s="89">
        <f t="shared" si="30"/>
        <v>918</v>
      </c>
      <c r="BF29" s="91">
        <f t="shared" si="31"/>
        <v>2.5000000000000001E-2</v>
      </c>
      <c r="BG29" s="91">
        <f t="shared" si="32"/>
        <v>1.3333333333333334E-2</v>
      </c>
      <c r="BH29" s="201">
        <f t="shared" si="33"/>
        <v>4.1341938997821357</v>
      </c>
    </row>
    <row r="30" spans="1:60" x14ac:dyDescent="0.35">
      <c r="A30" s="85">
        <v>3253</v>
      </c>
      <c r="B30" s="85" t="s">
        <v>218</v>
      </c>
      <c r="C30" s="85">
        <v>4</v>
      </c>
      <c r="D30" s="85" t="s">
        <v>44</v>
      </c>
      <c r="E30" s="86">
        <v>0</v>
      </c>
      <c r="F30" s="86"/>
      <c r="G30" s="86">
        <v>6.35</v>
      </c>
      <c r="H30" s="87">
        <v>193</v>
      </c>
      <c r="I30" s="87">
        <v>98</v>
      </c>
      <c r="J30" s="85"/>
      <c r="K30" s="99">
        <v>1200</v>
      </c>
      <c r="L30" s="90">
        <f t="shared" si="0"/>
        <v>0.94281561499999988</v>
      </c>
      <c r="M30" s="198">
        <f t="shared" si="1"/>
        <v>3.7712624599999995</v>
      </c>
      <c r="N30" s="91">
        <f t="shared" si="2"/>
        <v>1.1411764705882352</v>
      </c>
      <c r="O30" s="211">
        <f>IF(L30="",0,IFERROR(IF($M$2="ESTUDO",BH30,N30)+INDEX(AUXILIAR!$AO$3:$AO$8,MATCH(L30,{0;2;5;10;20;50},1))*1440,IF(M30="ESTUDO",BH30,N30)))</f>
        <v>8.4076143790849667</v>
      </c>
      <c r="P30" s="100">
        <f t="shared" si="3"/>
        <v>9.8962500000000002</v>
      </c>
      <c r="Q30" s="100">
        <f t="shared" si="4"/>
        <v>39.585000000000001</v>
      </c>
      <c r="R30" s="92" t="s">
        <v>0</v>
      </c>
      <c r="S30" s="88">
        <f t="shared" si="5"/>
        <v>10.5</v>
      </c>
      <c r="T30" s="100">
        <f>((AM30/(1+AUXILIAR!$BJ$4))-((AM30/(1+AUXILIAR!$BJ$4))*AUXILIAR!$BK$4))-(((AM30/(1+AUXILIAR!$BJ$4))-((AM30/(1+AUXILIAR!$BJ$4))*AUXILIAR!$BK$4))*((AUXILIAR!$BL$4+AUXILIAR!$BM$4)))</f>
        <v>3.867312348668281</v>
      </c>
      <c r="U30" s="100">
        <f>((S30/(1+AUXILIAR!$BJ$7))-((S30/(1+AUXILIAR!$BJ$7))*AUXILIAR!$BK$7))-(((S30/(1+AUXILIAR!$BJ$7))-((S30/(1+AUXILIAR!$BJ$7))*AUXILIAR!$BK$7))*((AUXILIAR!$BL$7+AUXILIAR!$BM$7)))</f>
        <v>8.3853000000000009</v>
      </c>
      <c r="V30" s="101">
        <f>AM30-(AM30/(1+AUXILIAR!$BJ$4))</f>
        <v>0.15738498789346256</v>
      </c>
      <c r="W30" s="102">
        <f>(AM30-V30)*AUXILIAR!$BK$4</f>
        <v>0.58111380145278446</v>
      </c>
      <c r="X30" s="102">
        <f>(AM30-V30-W30)*(AUXILIAR!$BL$4+AUXILIAR!$BM$4)</f>
        <v>0.39418886198547215</v>
      </c>
      <c r="Y30" s="102">
        <f>X30-(X30/(1+AUXILIAR!$BJ$7))</f>
        <v>0</v>
      </c>
      <c r="Z30" s="102">
        <f>(S30-Y30)*AUXILIAR!$BK$7</f>
        <v>1.26</v>
      </c>
      <c r="AA30" s="102">
        <f>(S30-Y30-Z30)*(AUXILIAR!$BL$7+AUXILIAR!$BM$7)</f>
        <v>0.85470000000000002</v>
      </c>
      <c r="AB30" s="103">
        <f t="shared" si="6"/>
        <v>0.15738498789346256</v>
      </c>
      <c r="AC30" s="103">
        <f t="shared" si="7"/>
        <v>-0.67888619854721555</v>
      </c>
      <c r="AD30" s="103">
        <f t="shared" si="8"/>
        <v>-0.46051113801452787</v>
      </c>
      <c r="AE30" s="103">
        <f t="shared" si="9"/>
        <v>-0.9820123486682808</v>
      </c>
      <c r="AF30" s="103">
        <f t="shared" si="10"/>
        <v>39.598255829999992</v>
      </c>
      <c r="AG30" s="102">
        <f t="shared" si="11"/>
        <v>2.5479876513317192</v>
      </c>
      <c r="AH30" s="100">
        <f t="shared" si="12"/>
        <v>9.6091301780108811</v>
      </c>
      <c r="AI30" s="104">
        <f t="shared" si="13"/>
        <v>0.24266549060302087</v>
      </c>
      <c r="AJ30" s="100">
        <f t="shared" si="29"/>
        <v>11.48798765133172</v>
      </c>
      <c r="AK30" s="100">
        <f t="shared" si="14"/>
        <v>43.324216570410876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5</v>
      </c>
      <c r="AN30" s="100">
        <f t="shared" si="15"/>
        <v>4.5179876513317199</v>
      </c>
      <c r="AO30" s="100">
        <f t="shared" si="16"/>
        <v>0.21</v>
      </c>
      <c r="AP30" s="100">
        <f t="shared" si="17"/>
        <v>0.26</v>
      </c>
      <c r="AQ30" s="212">
        <f>IFERROR(INDEX(AUXILIAR!$AG$3:$AG$28,MATCH(G30,AUXILIAR!$AH$3:$AH$28,1))*AM30,0)</f>
        <v>0.5</v>
      </c>
      <c r="AR30" s="105">
        <f>IF(R30="GUILHOTINA",IFERROR(VLOOKUP(G30,AUXILIAR!$Q:$S,3,FALSE),""),IF(R30="LASER",IFERROR(VLOOKUP(G30,AUXILIAR!$E:$I,3,FALSE),""),IF(R30="PLASMA",IFERROR(VLOOKUP(G30,AUXILIAR!$K:$O,3,FALSE),""),"")))</f>
        <v>2040</v>
      </c>
      <c r="AS30" s="89">
        <f t="shared" si="18"/>
        <v>18914</v>
      </c>
      <c r="AT30" s="89">
        <f t="shared" si="19"/>
        <v>75656</v>
      </c>
      <c r="AU30" s="89">
        <f t="shared" si="20"/>
        <v>2328</v>
      </c>
      <c r="AV30" s="89">
        <f t="shared" si="21"/>
        <v>582</v>
      </c>
      <c r="AW30" s="89">
        <f t="shared" si="22"/>
        <v>2328</v>
      </c>
      <c r="AX30" s="89">
        <f>IFERROR(
IF($R30="LASER",
   VLOOKUP($G30,AUXILIAR!$E$3:$G$27,3,FALSE),
IF($R30="PLASMA",
   VLOOKUP($G30,AUXILIAR!$K$6:$M$28,3,FALSE),
0)),
0)</f>
        <v>2040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0.45</v>
      </c>
      <c r="BE30" s="89">
        <f t="shared" si="30"/>
        <v>918</v>
      </c>
      <c r="BF30" s="91">
        <f t="shared" si="31"/>
        <v>2.5000000000000001E-2</v>
      </c>
      <c r="BG30" s="91">
        <f t="shared" si="32"/>
        <v>1.3333333333333334E-2</v>
      </c>
      <c r="BH30" s="201">
        <f t="shared" si="33"/>
        <v>2.5742810457516336</v>
      </c>
    </row>
    <row r="31" spans="1:60" x14ac:dyDescent="0.35">
      <c r="A31" s="85">
        <v>3253</v>
      </c>
      <c r="B31" s="85" t="s">
        <v>219</v>
      </c>
      <c r="C31" s="85">
        <v>2</v>
      </c>
      <c r="D31" s="85" t="s">
        <v>44</v>
      </c>
      <c r="E31" s="86">
        <v>3</v>
      </c>
      <c r="F31" s="86">
        <v>14</v>
      </c>
      <c r="G31" s="86">
        <v>6.35</v>
      </c>
      <c r="H31" s="87">
        <v>130</v>
      </c>
      <c r="I31" s="87">
        <v>108</v>
      </c>
      <c r="J31" s="85"/>
      <c r="K31" s="99">
        <v>1200</v>
      </c>
      <c r="L31" s="90">
        <f t="shared" si="0"/>
        <v>0.69985890000000006</v>
      </c>
      <c r="M31" s="198">
        <f t="shared" si="1"/>
        <v>1.3997178000000001</v>
      </c>
      <c r="N31" s="91">
        <f t="shared" si="2"/>
        <v>1.1865781524179522</v>
      </c>
      <c r="O31" s="211">
        <f>IF(L31="",0,IFERROR(IF($M$2="ESTUDO",BH31,N31)+INDEX(AUXILIAR!$AO$3:$AO$8,MATCH(L31,{0;2;5;10;20;50},1))*1440,IF(M31="ESTUDO",BH31,N31)))</f>
        <v>7.8933427457894316</v>
      </c>
      <c r="P31" s="100">
        <f t="shared" si="3"/>
        <v>7.35</v>
      </c>
      <c r="Q31" s="100">
        <f t="shared" si="4"/>
        <v>14.7</v>
      </c>
      <c r="R31" s="92" t="s">
        <v>0</v>
      </c>
      <c r="S31" s="88">
        <f t="shared" si="5"/>
        <v>10.5</v>
      </c>
      <c r="T31" s="100">
        <f>((AM31/(1+AUXILIAR!$BJ$4))-((AM31/(1+AUXILIAR!$BJ$4))*AUXILIAR!$BK$4))-(((AM31/(1+AUXILIAR!$BJ$4))-((AM31/(1+AUXILIAR!$BJ$4))*AUXILIAR!$BK$4))*((AUXILIAR!$BL$4+AUXILIAR!$BM$4)))</f>
        <v>3.867312348668281</v>
      </c>
      <c r="U31" s="100">
        <f>((S31/(1+AUXILIAR!$BJ$7))-((S31/(1+AUXILIAR!$BJ$7))*AUXILIAR!$BK$7))-(((S31/(1+AUXILIAR!$BJ$7))-((S31/(1+AUXILIAR!$BJ$7))*AUXILIAR!$BK$7))*((AUXILIAR!$BL$7+AUXILIAR!$BM$7)))</f>
        <v>8.3853000000000009</v>
      </c>
      <c r="V31" s="101">
        <f>AM31-(AM31/(1+AUXILIAR!$BJ$4))</f>
        <v>0.15738498789346256</v>
      </c>
      <c r="W31" s="102">
        <f>(AM31-V31)*AUXILIAR!$BK$4</f>
        <v>0.58111380145278446</v>
      </c>
      <c r="X31" s="102">
        <f>(AM31-V31-W31)*(AUXILIAR!$BL$4+AUXILIAR!$BM$4)</f>
        <v>0.39418886198547215</v>
      </c>
      <c r="Y31" s="102">
        <f>X31-(X31/(1+AUXILIAR!$BJ$7))</f>
        <v>0</v>
      </c>
      <c r="Z31" s="102">
        <f>(S31-Y31)*AUXILIAR!$BK$7</f>
        <v>1.26</v>
      </c>
      <c r="AA31" s="102">
        <f>(S31-Y31-Z31)*(AUXILIAR!$BL$7+AUXILIAR!$BM$7)</f>
        <v>0.85470000000000002</v>
      </c>
      <c r="AB31" s="103">
        <f t="shared" si="6"/>
        <v>0.15738498789346256</v>
      </c>
      <c r="AC31" s="103">
        <f t="shared" si="7"/>
        <v>-0.67888619854721555</v>
      </c>
      <c r="AD31" s="103">
        <f t="shared" si="8"/>
        <v>-0.46051113801452787</v>
      </c>
      <c r="AE31" s="103">
        <f t="shared" si="9"/>
        <v>-0.9820123486682808</v>
      </c>
      <c r="AF31" s="103">
        <f t="shared" si="10"/>
        <v>14.697036900000001</v>
      </c>
      <c r="AG31" s="102">
        <f t="shared" si="11"/>
        <v>2.5479876513317192</v>
      </c>
      <c r="AH31" s="100">
        <f t="shared" si="12"/>
        <v>3.5664636697492016</v>
      </c>
      <c r="AI31" s="104">
        <f t="shared" si="13"/>
        <v>0.24266549060302087</v>
      </c>
      <c r="AJ31" s="100">
        <f t="shared" si="29"/>
        <v>11.48798765133172</v>
      </c>
      <c r="AK31" s="100">
        <f t="shared" si="14"/>
        <v>16.079940801749203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5</v>
      </c>
      <c r="AN31" s="100">
        <f t="shared" si="15"/>
        <v>4.5179876513317199</v>
      </c>
      <c r="AO31" s="100">
        <f t="shared" si="16"/>
        <v>0.21</v>
      </c>
      <c r="AP31" s="100">
        <f t="shared" si="17"/>
        <v>0.26</v>
      </c>
      <c r="AQ31" s="212">
        <f>IFERROR(INDEX(AUXILIAR!$AG$3:$AG$28,MATCH(G31,AUXILIAR!$AH$3:$AH$28,1))*AM31,0)</f>
        <v>0.5</v>
      </c>
      <c r="AR31" s="105">
        <f>IF(R31="GUILHOTINA",IFERROR(VLOOKUP(G31,AUXILIAR!$Q:$S,3,FALSE),""),IF(R31="LASER",IFERROR(VLOOKUP(G31,AUXILIAR!$E:$I,3,FALSE),""),IF(R31="PLASMA",IFERROR(VLOOKUP(G31,AUXILIAR!$K:$O,3,FALSE),""),"")))</f>
        <v>2040</v>
      </c>
      <c r="AS31" s="89">
        <f t="shared" si="18"/>
        <v>14040</v>
      </c>
      <c r="AT31" s="89">
        <f t="shared" si="19"/>
        <v>28080</v>
      </c>
      <c r="AU31" s="89">
        <f t="shared" si="20"/>
        <v>1268.6725394818511</v>
      </c>
      <c r="AV31" s="89">
        <f t="shared" si="21"/>
        <v>634.33626974092556</v>
      </c>
      <c r="AW31" s="89">
        <f t="shared" si="22"/>
        <v>1268.6725394818511</v>
      </c>
      <c r="AX31" s="89">
        <f>IFERROR(
IF($R31="LASER",
   VLOOKUP($G31,AUXILIAR!$E$3:$G$27,3,FALSE),
IF($R31="PLASMA",
   VLOOKUP($G31,AUXILIAR!$K$6:$M$28,3,FALSE),
0)),
0)</f>
        <v>2040</v>
      </c>
      <c r="AY31" s="89">
        <f t="shared" si="23"/>
        <v>131.94689145077132</v>
      </c>
      <c r="AZ31" s="89">
        <f t="shared" si="24"/>
        <v>2040</v>
      </c>
      <c r="BA31" s="201">
        <f t="shared" si="25"/>
        <v>6.4679848750378091E-2</v>
      </c>
      <c r="BB31" s="201">
        <f t="shared" si="26"/>
        <v>0.16666666666666666</v>
      </c>
      <c r="BC31" s="201">
        <f t="shared" si="27"/>
        <v>0.56467984875037813</v>
      </c>
      <c r="BD31" s="201">
        <f t="shared" si="34"/>
        <v>0.45</v>
      </c>
      <c r="BE31" s="89">
        <f t="shared" si="30"/>
        <v>918</v>
      </c>
      <c r="BF31" s="91">
        <f t="shared" si="31"/>
        <v>0.1</v>
      </c>
      <c r="BG31" s="91">
        <f t="shared" si="32"/>
        <v>1.3333333333333334E-2</v>
      </c>
      <c r="BH31" s="201">
        <f t="shared" si="33"/>
        <v>2.0600094124560986</v>
      </c>
    </row>
    <row r="32" spans="1:60" ht="15.6" customHeight="1" x14ac:dyDescent="0.35">
      <c r="A32" s="85">
        <v>3253</v>
      </c>
      <c r="B32" s="85" t="s">
        <v>220</v>
      </c>
      <c r="C32" s="85">
        <v>2</v>
      </c>
      <c r="D32" s="85" t="s">
        <v>44</v>
      </c>
      <c r="E32" s="86">
        <v>0</v>
      </c>
      <c r="F32" s="86"/>
      <c r="G32" s="86">
        <v>4.75</v>
      </c>
      <c r="H32" s="87">
        <v>187</v>
      </c>
      <c r="I32" s="87">
        <v>45</v>
      </c>
      <c r="J32" s="85"/>
      <c r="K32" s="99">
        <v>1200</v>
      </c>
      <c r="L32" s="90">
        <f t="shared" si="0"/>
        <v>0.31377431249999999</v>
      </c>
      <c r="M32" s="198">
        <f t="shared" si="1"/>
        <v>0.62754862499999997</v>
      </c>
      <c r="N32" s="91">
        <f t="shared" si="2"/>
        <v>0.12844290657439447</v>
      </c>
      <c r="O32" s="211">
        <f>IF(L32="",0,IFERROR(IF($M$2="ESTUDO",BH32,N32)+INDEX(AUXILIAR!$AO$3:$AO$8,MATCH(L32,{0;2;5;10;20;50},1))*1440,IF(M32="ESTUDO",BH32,N32)))</f>
        <v>6.1570953479430983</v>
      </c>
      <c r="P32" s="100">
        <f t="shared" si="3"/>
        <v>3.3075000000000001</v>
      </c>
      <c r="Q32" s="100">
        <f t="shared" si="4"/>
        <v>6.6150000000000002</v>
      </c>
      <c r="R32" s="92" t="s">
        <v>0</v>
      </c>
      <c r="S32" s="88">
        <f t="shared" si="5"/>
        <v>10.5</v>
      </c>
      <c r="T32" s="100">
        <f>((AM32/(1+AUXILIAR!$BJ$4))-((AM32/(1+AUXILIAR!$BJ$4))*AUXILIAR!$BK$4))-(((AM32/(1+AUXILIAR!$BJ$4))-((AM32/(1+AUXILIAR!$BJ$4))*AUXILIAR!$BK$4))*((AUXILIAR!$BL$4+AUXILIAR!$BM$4)))</f>
        <v>3.867312348668281</v>
      </c>
      <c r="U32" s="100">
        <f>((S32/(1+AUXILIAR!$BJ$7))-((S32/(1+AUXILIAR!$BJ$7))*AUXILIAR!$BK$7))-(((S32/(1+AUXILIAR!$BJ$7))-((S32/(1+AUXILIAR!$BJ$7))*AUXILIAR!$BK$7))*((AUXILIAR!$BL$7+AUXILIAR!$BM$7)))</f>
        <v>8.3853000000000009</v>
      </c>
      <c r="V32" s="101">
        <f>AM32-(AM32/(1+AUXILIAR!$BJ$4))</f>
        <v>0.15738498789346256</v>
      </c>
      <c r="W32" s="102">
        <f>(AM32-V32)*AUXILIAR!$BK$4</f>
        <v>0.58111380145278446</v>
      </c>
      <c r="X32" s="102">
        <f>(AM32-V32-W32)*(AUXILIAR!$BL$4+AUXILIAR!$BM$4)</f>
        <v>0.39418886198547215</v>
      </c>
      <c r="Y32" s="102">
        <f>X32-(X32/(1+AUXILIAR!$BJ$7))</f>
        <v>0</v>
      </c>
      <c r="Z32" s="102">
        <f>(S32-Y32)*AUXILIAR!$BK$7</f>
        <v>1.26</v>
      </c>
      <c r="AA32" s="102">
        <f>(S32-Y32-Z32)*(AUXILIAR!$BL$7+AUXILIAR!$BM$7)</f>
        <v>0.85470000000000002</v>
      </c>
      <c r="AB32" s="103">
        <f t="shared" si="6"/>
        <v>0.15738498789346256</v>
      </c>
      <c r="AC32" s="103">
        <f t="shared" si="7"/>
        <v>-0.67888619854721555</v>
      </c>
      <c r="AD32" s="103">
        <f t="shared" si="8"/>
        <v>-0.46051113801452787</v>
      </c>
      <c r="AE32" s="103">
        <f t="shared" si="9"/>
        <v>-0.9820123486682808</v>
      </c>
      <c r="AF32" s="103">
        <f t="shared" si="10"/>
        <v>6.5892605624999998</v>
      </c>
      <c r="AG32" s="102">
        <f t="shared" si="11"/>
        <v>3.0479876513317192</v>
      </c>
      <c r="AH32" s="100">
        <f t="shared" si="12"/>
        <v>1.9127604596101997</v>
      </c>
      <c r="AI32" s="104">
        <f t="shared" si="13"/>
        <v>0.29028453822206851</v>
      </c>
      <c r="AJ32" s="100">
        <f t="shared" si="29"/>
        <v>10.98798765133172</v>
      </c>
      <c r="AK32" s="100">
        <f t="shared" si="14"/>
        <v>6.8954965421101999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5</v>
      </c>
      <c r="AN32" s="100">
        <f t="shared" si="15"/>
        <v>4.5179876513317199</v>
      </c>
      <c r="AO32" s="100">
        <f t="shared" si="16"/>
        <v>0.21</v>
      </c>
      <c r="AP32" s="100">
        <f t="shared" si="17"/>
        <v>0.26</v>
      </c>
      <c r="AQ32" s="212">
        <f>IFERROR(INDEX(AUXILIAR!$AG$3:$AG$28,MATCH(G32,AUXILIAR!$AH$3:$AH$28,1))*AM32,0)</f>
        <v>0</v>
      </c>
      <c r="AR32" s="105">
        <f>IF(R32="GUILHOTINA",IFERROR(VLOOKUP(G32,AUXILIAR!$Q:$S,3,FALSE),""),IF(R32="LASER",IFERROR(VLOOKUP(G32,AUXILIAR!$E:$I,3,FALSE),""),IF(R32="PLASMA",IFERROR(VLOOKUP(G32,AUXILIAR!$K:$O,3,FALSE),""),"")))</f>
        <v>7225</v>
      </c>
      <c r="AS32" s="89">
        <f t="shared" si="18"/>
        <v>8415</v>
      </c>
      <c r="AT32" s="89">
        <f t="shared" si="19"/>
        <v>16830</v>
      </c>
      <c r="AU32" s="89">
        <f t="shared" si="20"/>
        <v>928</v>
      </c>
      <c r="AV32" s="89">
        <f t="shared" si="21"/>
        <v>464</v>
      </c>
      <c r="AW32" s="89">
        <f t="shared" si="22"/>
        <v>928</v>
      </c>
      <c r="AX32" s="89">
        <f>IFERROR(
IF($R32="LASER",
   VLOOKUP($G32,AUXILIAR!$E$3:$G$27,3,FALSE),
IF($R32="PLASMA",
   VLOOKUP($G32,AUXILIAR!$K$6:$M$28,3,FALSE),
0)),
0)</f>
        <v>7225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0.45</v>
      </c>
      <c r="BE32" s="89">
        <f t="shared" si="30"/>
        <v>3251.25</v>
      </c>
      <c r="BF32" s="91">
        <f t="shared" si="31"/>
        <v>2.5000000000000001E-2</v>
      </c>
      <c r="BG32" s="91">
        <f t="shared" si="32"/>
        <v>1.3333333333333334E-2</v>
      </c>
      <c r="BH32" s="201">
        <f t="shared" si="33"/>
        <v>0.32376201460976545</v>
      </c>
    </row>
    <row r="33" spans="1:60" x14ac:dyDescent="0.35">
      <c r="A33" s="85">
        <v>3253</v>
      </c>
      <c r="B33" s="85" t="s">
        <v>221</v>
      </c>
      <c r="C33" s="85">
        <v>2</v>
      </c>
      <c r="D33" s="85" t="s">
        <v>44</v>
      </c>
      <c r="E33" s="86">
        <v>6</v>
      </c>
      <c r="F33" s="86">
        <v>18</v>
      </c>
      <c r="G33" s="86">
        <v>12.7</v>
      </c>
      <c r="H33" s="87">
        <v>300</v>
      </c>
      <c r="I33" s="87">
        <v>180</v>
      </c>
      <c r="J33" s="85"/>
      <c r="K33" s="99">
        <v>1200</v>
      </c>
      <c r="L33" s="90">
        <f t="shared" si="0"/>
        <v>5.3835300000000004</v>
      </c>
      <c r="M33" s="198">
        <f t="shared" si="1"/>
        <v>10.767060000000001</v>
      </c>
      <c r="N33" s="91">
        <f t="shared" si="2"/>
        <v>3.5247087704818263</v>
      </c>
      <c r="O33" s="211">
        <f>IF(L33="",0,IFERROR(IF($M$2="ESTUDO",BH33,N33)+INDEX(AUXILIAR!$AO$3:$AO$8,MATCH(L33,{0;2;5;10;20;50},1))*1440,IF(M33="ESTUDO",BH33,N33)))</f>
        <v>15.824408543454622</v>
      </c>
      <c r="P33" s="100">
        <f t="shared" si="3"/>
        <v>56.542499999999997</v>
      </c>
      <c r="Q33" s="100">
        <f t="shared" si="4"/>
        <v>113.08499999999999</v>
      </c>
      <c r="R33" s="92" t="s">
        <v>0</v>
      </c>
      <c r="S33" s="88">
        <f t="shared" si="5"/>
        <v>10.5</v>
      </c>
      <c r="T33" s="100">
        <f>((AM33/(1+AUXILIAR!$BJ$4))-((AM33/(1+AUXILIAR!$BJ$4))*AUXILIAR!$BK$4))-(((AM33/(1+AUXILIAR!$BJ$4))-((AM33/(1+AUXILIAR!$BJ$4))*AUXILIAR!$BK$4))*((AUXILIAR!$BL$4+AUXILIAR!$BM$4)))</f>
        <v>3.867312348668281</v>
      </c>
      <c r="U33" s="100">
        <f>((S33/(1+AUXILIAR!$BJ$7))-((S33/(1+AUXILIAR!$BJ$7))*AUXILIAR!$BK$7))-(((S33/(1+AUXILIAR!$BJ$7))-((S33/(1+AUXILIAR!$BJ$7))*AUXILIAR!$BK$7))*((AUXILIAR!$BL$7+AUXILIAR!$BM$7)))</f>
        <v>8.3853000000000009</v>
      </c>
      <c r="V33" s="101">
        <f>AM33-(AM33/(1+AUXILIAR!$BJ$4))</f>
        <v>0.15738498789346256</v>
      </c>
      <c r="W33" s="102">
        <f>(AM33-V33)*AUXILIAR!$BK$4</f>
        <v>0.58111380145278446</v>
      </c>
      <c r="X33" s="102">
        <f>(AM33-V33-W33)*(AUXILIAR!$BL$4+AUXILIAR!$BM$4)</f>
        <v>0.39418886198547215</v>
      </c>
      <c r="Y33" s="102">
        <f>X33-(X33/(1+AUXILIAR!$BJ$7))</f>
        <v>0</v>
      </c>
      <c r="Z33" s="102">
        <f>(S33-Y33)*AUXILIAR!$BK$7</f>
        <v>1.26</v>
      </c>
      <c r="AA33" s="102">
        <f>(S33-Y33-Z33)*(AUXILIAR!$BL$7+AUXILIAR!$BM$7)</f>
        <v>0.85470000000000002</v>
      </c>
      <c r="AB33" s="103">
        <f t="shared" si="6"/>
        <v>0.15738498789346256</v>
      </c>
      <c r="AC33" s="103">
        <f t="shared" si="7"/>
        <v>-0.67888619854721555</v>
      </c>
      <c r="AD33" s="103">
        <f t="shared" si="8"/>
        <v>-0.46051113801452787</v>
      </c>
      <c r="AE33" s="103">
        <f t="shared" si="9"/>
        <v>-0.9820123486682808</v>
      </c>
      <c r="AF33" s="103">
        <f t="shared" si="10"/>
        <v>113.05413000000001</v>
      </c>
      <c r="AG33" s="102">
        <f t="shared" si="11"/>
        <v>-1.2029567931127243</v>
      </c>
      <c r="AH33" s="100">
        <f t="shared" si="12"/>
        <v>-12.95230796885229</v>
      </c>
      <c r="AI33" s="104">
        <f t="shared" si="13"/>
        <v>-0.11456731362978327</v>
      </c>
      <c r="AJ33" s="100">
        <f t="shared" si="29"/>
        <v>15.238932095776164</v>
      </c>
      <c r="AK33" s="100">
        <f t="shared" si="14"/>
        <v>164.07849621114772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5</v>
      </c>
      <c r="AN33" s="100">
        <f t="shared" si="15"/>
        <v>4.5179876513317199</v>
      </c>
      <c r="AO33" s="100">
        <f t="shared" si="16"/>
        <v>0.21</v>
      </c>
      <c r="AP33" s="100">
        <f t="shared" si="17"/>
        <v>0.26</v>
      </c>
      <c r="AQ33" s="212">
        <f>IFERROR(INDEX(AUXILIAR!$AG$3:$AG$28,MATCH(G33,AUXILIAR!$AH$3:$AH$28,1))*AM33,0)</f>
        <v>4.2509444444444435</v>
      </c>
      <c r="AR33" s="105">
        <f>IF(R33="GUILHOTINA",IFERROR(VLOOKUP(G33,AUXILIAR!$Q:$S,3,FALSE),""),IF(R33="LASER",IFERROR(VLOOKUP(G33,AUXILIAR!$E:$I,3,FALSE),""),IF(R33="PLASMA",IFERROR(VLOOKUP(G33,AUXILIAR!$K:$O,3,FALSE),""),"")))</f>
        <v>1275</v>
      </c>
      <c r="AS33" s="89">
        <f t="shared" si="18"/>
        <v>54000</v>
      </c>
      <c r="AT33" s="89">
        <f t="shared" si="19"/>
        <v>108000</v>
      </c>
      <c r="AU33" s="89">
        <f t="shared" si="20"/>
        <v>2734.3008158104744</v>
      </c>
      <c r="AV33" s="89">
        <f t="shared" si="21"/>
        <v>1367.1504079052372</v>
      </c>
      <c r="AW33" s="89">
        <f t="shared" si="22"/>
        <v>2734.3008158104744</v>
      </c>
      <c r="AX33" s="89">
        <f>IFERROR(
IF($R33="LASER",
   VLOOKUP($G33,AUXILIAR!$E$3:$G$27,3,FALSE),
IF($R33="PLASMA",
   VLOOKUP($G33,AUXILIAR!$K$6:$M$28,3,FALSE),
0)),
0)</f>
        <v>1275</v>
      </c>
      <c r="AY33" s="89">
        <f t="shared" si="23"/>
        <v>339.29200658769764</v>
      </c>
      <c r="AZ33" s="89">
        <f t="shared" si="24"/>
        <v>892.5</v>
      </c>
      <c r="BA33" s="201">
        <f t="shared" si="25"/>
        <v>0.38015911102263039</v>
      </c>
      <c r="BB33" s="201">
        <f t="shared" si="26"/>
        <v>0.16666666666666666</v>
      </c>
      <c r="BC33" s="201">
        <f t="shared" si="27"/>
        <v>1.3801591110226303</v>
      </c>
      <c r="BD33" s="201">
        <f t="shared" si="34"/>
        <v>0.6</v>
      </c>
      <c r="BE33" s="89">
        <f t="shared" si="30"/>
        <v>765</v>
      </c>
      <c r="BF33" s="91">
        <f t="shared" si="31"/>
        <v>0.35000000000000003</v>
      </c>
      <c r="BG33" s="91">
        <f t="shared" si="32"/>
        <v>0.02</v>
      </c>
      <c r="BH33" s="201">
        <f t="shared" si="33"/>
        <v>5.3244085434546236</v>
      </c>
    </row>
    <row r="34" spans="1:60" x14ac:dyDescent="0.35">
      <c r="A34" s="85">
        <v>3253</v>
      </c>
      <c r="B34" s="85" t="s">
        <v>222</v>
      </c>
      <c r="C34" s="85">
        <v>2</v>
      </c>
      <c r="D34" s="85" t="s">
        <v>44</v>
      </c>
      <c r="E34" s="86">
        <v>8</v>
      </c>
      <c r="F34" s="86">
        <v>18</v>
      </c>
      <c r="G34" s="86">
        <v>12.7</v>
      </c>
      <c r="H34" s="87">
        <v>460</v>
      </c>
      <c r="I34" s="87">
        <v>180</v>
      </c>
      <c r="J34" s="85"/>
      <c r="K34" s="99">
        <v>1200</v>
      </c>
      <c r="L34" s="90">
        <f t="shared" si="0"/>
        <v>8.2547460000000008</v>
      </c>
      <c r="M34" s="198">
        <f t="shared" si="1"/>
        <v>16.509492000000002</v>
      </c>
      <c r="N34" s="91">
        <f t="shared" si="2"/>
        <v>4.6996116939757675</v>
      </c>
      <c r="O34" s="211">
        <f>IF(L34="",0,IFERROR(IF($M$2="ESTUDO",BH34,N34)+INDEX(AUXILIAR!$AO$3:$AO$8,MATCH(L34,{0;2;5;10;20;50},1))*1440,IF(M34="ESTUDO",BH34,N34)))</f>
        <v>16.622744875957629</v>
      </c>
      <c r="P34" s="100">
        <f t="shared" si="3"/>
        <v>86.677500000000009</v>
      </c>
      <c r="Q34" s="100">
        <f t="shared" si="4"/>
        <v>173.35500000000002</v>
      </c>
      <c r="R34" s="92" t="s">
        <v>0</v>
      </c>
      <c r="S34" s="88">
        <f t="shared" si="5"/>
        <v>10.5</v>
      </c>
      <c r="T34" s="100">
        <f>((AM34/(1+AUXILIAR!$BJ$4))-((AM34/(1+AUXILIAR!$BJ$4))*AUXILIAR!$BK$4))-(((AM34/(1+AUXILIAR!$BJ$4))-((AM34/(1+AUXILIAR!$BJ$4))*AUXILIAR!$BK$4))*((AUXILIAR!$BL$4+AUXILIAR!$BM$4)))</f>
        <v>3.867312348668281</v>
      </c>
      <c r="U34" s="100">
        <f>((S34/(1+AUXILIAR!$BJ$7))-((S34/(1+AUXILIAR!$BJ$7))*AUXILIAR!$BK$7))-(((S34/(1+AUXILIAR!$BJ$7))-((S34/(1+AUXILIAR!$BJ$7))*AUXILIAR!$BK$7))*((AUXILIAR!$BL$7+AUXILIAR!$BM$7)))</f>
        <v>8.3853000000000009</v>
      </c>
      <c r="V34" s="101">
        <f>AM34-(AM34/(1+AUXILIAR!$BJ$4))</f>
        <v>0.15738498789346256</v>
      </c>
      <c r="W34" s="102">
        <f>(AM34-V34)*AUXILIAR!$BK$4</f>
        <v>0.58111380145278446</v>
      </c>
      <c r="X34" s="102">
        <f>(AM34-V34-W34)*(AUXILIAR!$BL$4+AUXILIAR!$BM$4)</f>
        <v>0.39418886198547215</v>
      </c>
      <c r="Y34" s="102">
        <f>X34-(X34/(1+AUXILIAR!$BJ$7))</f>
        <v>0</v>
      </c>
      <c r="Z34" s="102">
        <f>(S34-Y34)*AUXILIAR!$BK$7</f>
        <v>1.26</v>
      </c>
      <c r="AA34" s="102">
        <f>(S34-Y34-Z34)*(AUXILIAR!$BL$7+AUXILIAR!$BM$7)</f>
        <v>0.85470000000000002</v>
      </c>
      <c r="AB34" s="103">
        <f t="shared" si="6"/>
        <v>0.15738498789346256</v>
      </c>
      <c r="AC34" s="103">
        <f t="shared" si="7"/>
        <v>-0.67888619854721555</v>
      </c>
      <c r="AD34" s="103">
        <f t="shared" si="8"/>
        <v>-0.46051113801452787</v>
      </c>
      <c r="AE34" s="103">
        <f t="shared" si="9"/>
        <v>-0.9820123486682808</v>
      </c>
      <c r="AF34" s="103">
        <f t="shared" si="10"/>
        <v>173.34966600000001</v>
      </c>
      <c r="AG34" s="102">
        <f t="shared" si="11"/>
        <v>-1.2029567931127243</v>
      </c>
      <c r="AH34" s="100">
        <f t="shared" si="12"/>
        <v>-19.860205552240178</v>
      </c>
      <c r="AI34" s="104">
        <f t="shared" si="13"/>
        <v>-0.11456731362978327</v>
      </c>
      <c r="AJ34" s="100">
        <f t="shared" si="29"/>
        <v>15.238932095776164</v>
      </c>
      <c r="AK34" s="100">
        <f t="shared" si="14"/>
        <v>251.58702752375984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5</v>
      </c>
      <c r="AN34" s="100">
        <f t="shared" si="15"/>
        <v>4.5179876513317199</v>
      </c>
      <c r="AO34" s="100">
        <f t="shared" si="16"/>
        <v>0.21</v>
      </c>
      <c r="AP34" s="100">
        <f t="shared" si="17"/>
        <v>0.26</v>
      </c>
      <c r="AQ34" s="212">
        <f>IFERROR(INDEX(AUXILIAR!$AG$3:$AG$28,MATCH(G34,AUXILIAR!$AH$3:$AH$28,1))*AM34,0)</f>
        <v>4.2509444444444435</v>
      </c>
      <c r="AR34" s="105">
        <f>IF(R34="GUILHOTINA",IFERROR(VLOOKUP(G34,AUXILIAR!$Q:$S,3,FALSE),""),IF(R34="LASER",IFERROR(VLOOKUP(G34,AUXILIAR!$E:$I,3,FALSE),""),IF(R34="PLASMA",IFERROR(VLOOKUP(G34,AUXILIAR!$K:$O,3,FALSE),""),"")))</f>
        <v>1275</v>
      </c>
      <c r="AS34" s="89">
        <f t="shared" si="18"/>
        <v>82800</v>
      </c>
      <c r="AT34" s="89">
        <f t="shared" si="19"/>
        <v>165600</v>
      </c>
      <c r="AU34" s="89">
        <f t="shared" si="20"/>
        <v>3645.7344210806323</v>
      </c>
      <c r="AV34" s="89">
        <f t="shared" si="21"/>
        <v>1822.8672105403161</v>
      </c>
      <c r="AW34" s="89">
        <f t="shared" si="22"/>
        <v>3645.7344210806323</v>
      </c>
      <c r="AX34" s="89">
        <f>IFERROR(
IF($R34="LASER",
   VLOOKUP($G34,AUXILIAR!$E$3:$G$27,3,FALSE),
IF($R34="PLASMA",
   VLOOKUP($G34,AUXILIAR!$K$6:$M$28,3,FALSE),
0)),
0)</f>
        <v>1275</v>
      </c>
      <c r="AY34" s="89">
        <f t="shared" si="23"/>
        <v>452.38934211693021</v>
      </c>
      <c r="AZ34" s="89">
        <f t="shared" si="24"/>
        <v>892.5</v>
      </c>
      <c r="BA34" s="201">
        <f t="shared" si="25"/>
        <v>0.5068788146968406</v>
      </c>
      <c r="BB34" s="201">
        <f t="shared" si="26"/>
        <v>0.16666666666666666</v>
      </c>
      <c r="BC34" s="201">
        <f t="shared" si="27"/>
        <v>1.8402121480301739</v>
      </c>
      <c r="BD34" s="201">
        <f t="shared" si="34"/>
        <v>0.75</v>
      </c>
      <c r="BE34" s="89">
        <f t="shared" si="30"/>
        <v>956.25</v>
      </c>
      <c r="BF34" s="91">
        <f t="shared" si="31"/>
        <v>0.45</v>
      </c>
      <c r="BG34" s="91">
        <f t="shared" si="32"/>
        <v>0.02</v>
      </c>
      <c r="BH34" s="201">
        <f t="shared" si="33"/>
        <v>6.1227448759576326</v>
      </c>
    </row>
    <row r="35" spans="1:60" x14ac:dyDescent="0.35">
      <c r="A35" s="85">
        <v>3253</v>
      </c>
      <c r="B35" s="85" t="s">
        <v>223</v>
      </c>
      <c r="C35" s="85">
        <v>1</v>
      </c>
      <c r="D35" s="85" t="s">
        <v>44</v>
      </c>
      <c r="E35" s="86">
        <v>6</v>
      </c>
      <c r="F35" s="86">
        <v>18</v>
      </c>
      <c r="G35" s="86">
        <v>12.7</v>
      </c>
      <c r="H35" s="87">
        <v>250</v>
      </c>
      <c r="I35" s="87">
        <v>180</v>
      </c>
      <c r="J35" s="85"/>
      <c r="K35" s="99">
        <v>1200</v>
      </c>
      <c r="L35" s="90">
        <f t="shared" si="0"/>
        <v>4.486275</v>
      </c>
      <c r="M35" s="198">
        <f t="shared" si="1"/>
        <v>4.486275</v>
      </c>
      <c r="N35" s="91">
        <f t="shared" si="2"/>
        <v>2.3740025682032084</v>
      </c>
      <c r="O35" s="211">
        <f>IF(L35="",0,IFERROR(IF($M$2="ESTUDO",BH35,N35)+INDEX(AUXILIAR!$AO$3:$AO$8,MATCH(L35,{0;2;5;10;20;50},1))*1440,IF(M35="ESTUDO",BH35,N35)))</f>
        <v>11.806564872990261</v>
      </c>
      <c r="P35" s="100">
        <f t="shared" si="3"/>
        <v>47.145000000000003</v>
      </c>
      <c r="Q35" s="100">
        <f t="shared" si="4"/>
        <v>47.145000000000003</v>
      </c>
      <c r="R35" s="92" t="s">
        <v>0</v>
      </c>
      <c r="S35" s="88">
        <f t="shared" si="5"/>
        <v>10.5</v>
      </c>
      <c r="T35" s="100">
        <f>((AM35/(1+AUXILIAR!$BJ$4))-((AM35/(1+AUXILIAR!$BJ$4))*AUXILIAR!$BK$4))-(((AM35/(1+AUXILIAR!$BJ$4))-((AM35/(1+AUXILIAR!$BJ$4))*AUXILIAR!$BK$4))*((AUXILIAR!$BL$4+AUXILIAR!$BM$4)))</f>
        <v>3.867312348668281</v>
      </c>
      <c r="U35" s="100">
        <f>((S35/(1+AUXILIAR!$BJ$7))-((S35/(1+AUXILIAR!$BJ$7))*AUXILIAR!$BK$7))-(((S35/(1+AUXILIAR!$BJ$7))-((S35/(1+AUXILIAR!$BJ$7))*AUXILIAR!$BK$7))*((AUXILIAR!$BL$7+AUXILIAR!$BM$7)))</f>
        <v>8.3853000000000009</v>
      </c>
      <c r="V35" s="101">
        <f>AM35-(AM35/(1+AUXILIAR!$BJ$4))</f>
        <v>0.15738498789346256</v>
      </c>
      <c r="W35" s="102">
        <f>(AM35-V35)*AUXILIAR!$BK$4</f>
        <v>0.58111380145278446</v>
      </c>
      <c r="X35" s="102">
        <f>(AM35-V35-W35)*(AUXILIAR!$BL$4+AUXILIAR!$BM$4)</f>
        <v>0.39418886198547215</v>
      </c>
      <c r="Y35" s="102">
        <f>X35-(X35/(1+AUXILIAR!$BJ$7))</f>
        <v>0</v>
      </c>
      <c r="Z35" s="102">
        <f>(S35-Y35)*AUXILIAR!$BK$7</f>
        <v>1.26</v>
      </c>
      <c r="AA35" s="102">
        <f>(S35-Y35-Z35)*(AUXILIAR!$BL$7+AUXILIAR!$BM$7)</f>
        <v>0.85470000000000002</v>
      </c>
      <c r="AB35" s="103">
        <f t="shared" si="6"/>
        <v>0.15738498789346256</v>
      </c>
      <c r="AC35" s="103">
        <f t="shared" si="7"/>
        <v>-0.67888619854721555</v>
      </c>
      <c r="AD35" s="103">
        <f t="shared" si="8"/>
        <v>-0.46051113801452787</v>
      </c>
      <c r="AE35" s="103">
        <f t="shared" si="9"/>
        <v>-0.9820123486682808</v>
      </c>
      <c r="AF35" s="103">
        <f t="shared" si="10"/>
        <v>47.105887500000001</v>
      </c>
      <c r="AG35" s="102">
        <f t="shared" si="11"/>
        <v>-1.2029567931127243</v>
      </c>
      <c r="AH35" s="100">
        <f t="shared" si="12"/>
        <v>-5.3967949870217868</v>
      </c>
      <c r="AI35" s="104">
        <f t="shared" si="13"/>
        <v>-0.11456731362978327</v>
      </c>
      <c r="AJ35" s="100">
        <f t="shared" si="29"/>
        <v>15.238932095776164</v>
      </c>
      <c r="AK35" s="100">
        <f t="shared" si="14"/>
        <v>68.366040087978206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5</v>
      </c>
      <c r="AN35" s="100">
        <f t="shared" si="15"/>
        <v>4.5179876513317199</v>
      </c>
      <c r="AO35" s="100">
        <f t="shared" si="16"/>
        <v>0.21</v>
      </c>
      <c r="AP35" s="100">
        <f t="shared" si="17"/>
        <v>0.26</v>
      </c>
      <c r="AQ35" s="212">
        <f>IFERROR(INDEX(AUXILIAR!$AG$3:$AG$28,MATCH(G35,AUXILIAR!$AH$3:$AH$28,1))*AM35,0)</f>
        <v>4.2509444444444435</v>
      </c>
      <c r="AR35" s="105">
        <f>IF(R35="GUILHOTINA",IFERROR(VLOOKUP(G35,AUXILIAR!$Q:$S,3,FALSE),""),IF(R35="LASER",IFERROR(VLOOKUP(G35,AUXILIAR!$E:$I,3,FALSE),""),IF(R35="PLASMA",IFERROR(VLOOKUP(G35,AUXILIAR!$K:$O,3,FALSE),""),"")))</f>
        <v>1275</v>
      </c>
      <c r="AS35" s="89">
        <f t="shared" si="18"/>
        <v>45000</v>
      </c>
      <c r="AT35" s="89">
        <f t="shared" si="19"/>
        <v>45000</v>
      </c>
      <c r="AU35" s="89">
        <f t="shared" si="20"/>
        <v>1267.1504079052372</v>
      </c>
      <c r="AV35" s="89">
        <f t="shared" si="21"/>
        <v>1267.1504079052372</v>
      </c>
      <c r="AW35" s="89">
        <f t="shared" si="22"/>
        <v>1267.1504079052372</v>
      </c>
      <c r="AX35" s="89">
        <f>IFERROR(
IF($R35="LASER",
   VLOOKUP($G35,AUXILIAR!$E$3:$G$27,3,FALSE),
IF($R35="PLASMA",
   VLOOKUP($G35,AUXILIAR!$K$6:$M$28,3,FALSE),
0)),
0)</f>
        <v>1275</v>
      </c>
      <c r="AY35" s="89">
        <f t="shared" si="23"/>
        <v>339.29200658769764</v>
      </c>
      <c r="AZ35" s="89">
        <f t="shared" si="24"/>
        <v>892.5</v>
      </c>
      <c r="BA35" s="201">
        <f t="shared" si="25"/>
        <v>0.38015911102263039</v>
      </c>
      <c r="BB35" s="201">
        <f t="shared" si="26"/>
        <v>0.16666666666666666</v>
      </c>
      <c r="BC35" s="201">
        <f t="shared" si="27"/>
        <v>1.3801591110226303</v>
      </c>
      <c r="BD35" s="201">
        <f t="shared" si="34"/>
        <v>0.6</v>
      </c>
      <c r="BE35" s="89">
        <f t="shared" si="30"/>
        <v>765</v>
      </c>
      <c r="BF35" s="91">
        <f t="shared" si="31"/>
        <v>0.35000000000000003</v>
      </c>
      <c r="BG35" s="91">
        <f t="shared" si="32"/>
        <v>0.02</v>
      </c>
      <c r="BH35" s="201">
        <f t="shared" si="33"/>
        <v>3.4065648729902609</v>
      </c>
    </row>
    <row r="36" spans="1:60" x14ac:dyDescent="0.35">
      <c r="A36" s="85">
        <v>3253</v>
      </c>
      <c r="B36" s="85" t="s">
        <v>224</v>
      </c>
      <c r="C36" s="85">
        <v>102</v>
      </c>
      <c r="D36" s="85" t="s">
        <v>44</v>
      </c>
      <c r="E36" s="86">
        <v>2</v>
      </c>
      <c r="F36" s="86">
        <v>12</v>
      </c>
      <c r="G36" s="86">
        <v>4.75</v>
      </c>
      <c r="H36" s="87">
        <v>93</v>
      </c>
      <c r="I36" s="87">
        <v>70</v>
      </c>
      <c r="J36" s="85"/>
      <c r="K36" s="99">
        <v>1200</v>
      </c>
      <c r="L36" s="90">
        <f t="shared" si="0"/>
        <v>0.24274162499999999</v>
      </c>
      <c r="M36" s="198">
        <f t="shared" si="1"/>
        <v>24.759645749999997</v>
      </c>
      <c r="N36" s="91">
        <f t="shared" si="2"/>
        <v>6.2234566278484236</v>
      </c>
      <c r="O36" s="211">
        <f>IF(L36="",0,IFERROR(IF($M$2="ESTUDO",BH36,N36)+INDEX(AUXILIAR!$AO$3:$AO$8,MATCH(L36,{0;2;5;10;20;50},1))*1440,IF(M36="ESTUDO",BH36,N36)))</f>
        <v>19.331408082997044</v>
      </c>
      <c r="P36" s="100">
        <f t="shared" si="3"/>
        <v>2.5488235294117647</v>
      </c>
      <c r="Q36" s="100">
        <f t="shared" si="4"/>
        <v>259.98</v>
      </c>
      <c r="R36" s="92" t="s">
        <v>0</v>
      </c>
      <c r="S36" s="88">
        <f t="shared" si="5"/>
        <v>10.5</v>
      </c>
      <c r="T36" s="100">
        <f>((AM36/(1+AUXILIAR!$BJ$4))-((AM36/(1+AUXILIAR!$BJ$4))*AUXILIAR!$BK$4))-(((AM36/(1+AUXILIAR!$BJ$4))-((AM36/(1+AUXILIAR!$BJ$4))*AUXILIAR!$BK$4))*((AUXILIAR!$BL$4+AUXILIAR!$BM$4)))</f>
        <v>3.867312348668281</v>
      </c>
      <c r="U36" s="100">
        <f>((S36/(1+AUXILIAR!$BJ$7))-((S36/(1+AUXILIAR!$BJ$7))*AUXILIAR!$BK$7))-(((S36/(1+AUXILIAR!$BJ$7))-((S36/(1+AUXILIAR!$BJ$7))*AUXILIAR!$BK$7))*((AUXILIAR!$BL$7+AUXILIAR!$BM$7)))</f>
        <v>8.3853000000000009</v>
      </c>
      <c r="V36" s="101">
        <f>AM36-(AM36/(1+AUXILIAR!$BJ$4))</f>
        <v>0.15738498789346256</v>
      </c>
      <c r="W36" s="102">
        <f>(AM36-V36)*AUXILIAR!$BK$4</f>
        <v>0.58111380145278446</v>
      </c>
      <c r="X36" s="102">
        <f>(AM36-V36-W36)*(AUXILIAR!$BL$4+AUXILIAR!$BM$4)</f>
        <v>0.39418886198547215</v>
      </c>
      <c r="Y36" s="102">
        <f>X36-(X36/(1+AUXILIAR!$BJ$7))</f>
        <v>0</v>
      </c>
      <c r="Z36" s="102">
        <f>(S36-Y36)*AUXILIAR!$BK$7</f>
        <v>1.26</v>
      </c>
      <c r="AA36" s="102">
        <f>(S36-Y36-Z36)*(AUXILIAR!$BL$7+AUXILIAR!$BM$7)</f>
        <v>0.85470000000000002</v>
      </c>
      <c r="AB36" s="103">
        <f t="shared" si="6"/>
        <v>0.15738498789346256</v>
      </c>
      <c r="AC36" s="103">
        <f t="shared" si="7"/>
        <v>-0.67888619854721555</v>
      </c>
      <c r="AD36" s="103">
        <f t="shared" si="8"/>
        <v>-0.46051113801452787</v>
      </c>
      <c r="AE36" s="103">
        <f t="shared" si="9"/>
        <v>-0.9820123486682808</v>
      </c>
      <c r="AF36" s="103">
        <f t="shared" si="10"/>
        <v>259.97628037499999</v>
      </c>
      <c r="AG36" s="102">
        <f t="shared" si="11"/>
        <v>3.0479876513317192</v>
      </c>
      <c r="AH36" s="100">
        <f t="shared" si="12"/>
        <v>75.467094497347873</v>
      </c>
      <c r="AI36" s="104">
        <f t="shared" si="13"/>
        <v>0.29028453822206851</v>
      </c>
      <c r="AJ36" s="100">
        <f t="shared" si="29"/>
        <v>10.98798765133172</v>
      </c>
      <c r="AK36" s="100">
        <f t="shared" si="14"/>
        <v>272.05868175234787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5</v>
      </c>
      <c r="AN36" s="100">
        <f t="shared" si="15"/>
        <v>4.5179876513317199</v>
      </c>
      <c r="AO36" s="100">
        <f t="shared" si="16"/>
        <v>0.21</v>
      </c>
      <c r="AP36" s="100">
        <f t="shared" si="17"/>
        <v>0.26</v>
      </c>
      <c r="AQ36" s="212">
        <f>IFERROR(INDEX(AUXILIAR!$AG$3:$AG$28,MATCH(G36,AUXILIAR!$AH$3:$AH$28,1))*AM36,0)</f>
        <v>0</v>
      </c>
      <c r="AR36" s="105">
        <f>IF(R36="GUILHOTINA",IFERROR(VLOOKUP(G36,AUXILIAR!$Q:$S,3,FALSE),""),IF(R36="LASER",IFERROR(VLOOKUP(G36,AUXILIAR!$E:$I,3,FALSE),""),IF(R36="PLASMA",IFERROR(VLOOKUP(G36,AUXILIAR!$K:$O,3,FALSE),""),"")))</f>
        <v>7225</v>
      </c>
      <c r="AS36" s="89">
        <f t="shared" si="18"/>
        <v>6510</v>
      </c>
      <c r="AT36" s="89">
        <f t="shared" si="19"/>
        <v>664020</v>
      </c>
      <c r="AU36" s="89">
        <f t="shared" si="20"/>
        <v>42480.742579185375</v>
      </c>
      <c r="AV36" s="89">
        <f t="shared" si="21"/>
        <v>416.47786842338604</v>
      </c>
      <c r="AW36" s="89">
        <f t="shared" si="22"/>
        <v>42480.742579185375</v>
      </c>
      <c r="AX36" s="89">
        <f>IFERROR(
IF($R36="LASER",
   VLOOKUP($G36,AUXILIAR!$E$3:$G$27,3,FALSE),
IF($R36="PLASMA",
   VLOOKUP($G36,AUXILIAR!$K$6:$M$28,3,FALSE),
0)),
0)</f>
        <v>7225</v>
      </c>
      <c r="AY36" s="89">
        <f t="shared" si="23"/>
        <v>75.398223686155035</v>
      </c>
      <c r="AZ36" s="89">
        <f t="shared" si="24"/>
        <v>7225</v>
      </c>
      <c r="BA36" s="201">
        <f t="shared" si="25"/>
        <v>1.0435740302582012E-2</v>
      </c>
      <c r="BB36" s="201">
        <f t="shared" si="26"/>
        <v>0.16666666666666666</v>
      </c>
      <c r="BC36" s="201">
        <f t="shared" si="27"/>
        <v>0.3437690736359153</v>
      </c>
      <c r="BD36" s="201">
        <f t="shared" si="34"/>
        <v>0.45</v>
      </c>
      <c r="BE36" s="89">
        <f t="shared" si="30"/>
        <v>3251.25</v>
      </c>
      <c r="BF36" s="91">
        <f t="shared" si="31"/>
        <v>7.5000000000000011E-2</v>
      </c>
      <c r="BG36" s="91">
        <f t="shared" si="32"/>
        <v>1.3333333333333334E-2</v>
      </c>
      <c r="BH36" s="201">
        <f t="shared" si="33"/>
        <v>13.498074749663711</v>
      </c>
    </row>
    <row r="37" spans="1:60" x14ac:dyDescent="0.35">
      <c r="A37" s="85">
        <v>3253</v>
      </c>
      <c r="B37" s="85" t="s">
        <v>225</v>
      </c>
      <c r="C37" s="85">
        <v>20</v>
      </c>
      <c r="D37" s="85" t="s">
        <v>44</v>
      </c>
      <c r="E37" s="86">
        <v>4</v>
      </c>
      <c r="F37" s="86">
        <v>18</v>
      </c>
      <c r="G37" s="86">
        <v>7.94</v>
      </c>
      <c r="H37" s="87">
        <v>153</v>
      </c>
      <c r="I37" s="87">
        <v>110</v>
      </c>
      <c r="J37" s="85"/>
      <c r="K37" s="99">
        <v>1200</v>
      </c>
      <c r="L37" s="90">
        <f t="shared" si="0"/>
        <v>1.04899707</v>
      </c>
      <c r="M37" s="198">
        <f t="shared" si="1"/>
        <v>20.979941400000001</v>
      </c>
      <c r="N37" s="91">
        <f t="shared" si="2"/>
        <v>9.316328044453634</v>
      </c>
      <c r="O37" s="211">
        <f>IF(L37="",0,IFERROR(IF($M$2="ESTUDO",BH37,N37)+INDEX(AUXILIAR!$AO$3:$AO$8,MATCH(L37,{0;2;5;10;20;50},1))*1440,IF(M37="ESTUDO",BH37,N37)))</f>
        <v>25.770296740795565</v>
      </c>
      <c r="P37" s="100">
        <f t="shared" si="3"/>
        <v>11.0145</v>
      </c>
      <c r="Q37" s="100">
        <f t="shared" si="4"/>
        <v>220.29</v>
      </c>
      <c r="R37" s="92" t="s">
        <v>0</v>
      </c>
      <c r="S37" s="88">
        <f t="shared" si="5"/>
        <v>10.5</v>
      </c>
      <c r="T37" s="100">
        <f>((AM37/(1+AUXILIAR!$BJ$4))-((AM37/(1+AUXILIAR!$BJ$4))*AUXILIAR!$BK$4))-(((AM37/(1+AUXILIAR!$BJ$4))-((AM37/(1+AUXILIAR!$BJ$4))*AUXILIAR!$BK$4))*((AUXILIAR!$BL$4+AUXILIAR!$BM$4)))</f>
        <v>3.867312348668281</v>
      </c>
      <c r="U37" s="100">
        <f>((S37/(1+AUXILIAR!$BJ$7))-((S37/(1+AUXILIAR!$BJ$7))*AUXILIAR!$BK$7))-(((S37/(1+AUXILIAR!$BJ$7))-((S37/(1+AUXILIAR!$BJ$7))*AUXILIAR!$BK$7))*((AUXILIAR!$BL$7+AUXILIAR!$BM$7)))</f>
        <v>8.3853000000000009</v>
      </c>
      <c r="V37" s="101">
        <f>AM37-(AM37/(1+AUXILIAR!$BJ$4))</f>
        <v>0.15738498789346256</v>
      </c>
      <c r="W37" s="102">
        <f>(AM37-V37)*AUXILIAR!$BK$4</f>
        <v>0.58111380145278446</v>
      </c>
      <c r="X37" s="102">
        <f>(AM37-V37-W37)*(AUXILIAR!$BL$4+AUXILIAR!$BM$4)</f>
        <v>0.39418886198547215</v>
      </c>
      <c r="Y37" s="102">
        <f>X37-(X37/(1+AUXILIAR!$BJ$7))</f>
        <v>0</v>
      </c>
      <c r="Z37" s="102">
        <f>(S37-Y37)*AUXILIAR!$BK$7</f>
        <v>1.26</v>
      </c>
      <c r="AA37" s="102">
        <f>(S37-Y37-Z37)*(AUXILIAR!$BL$7+AUXILIAR!$BM$7)</f>
        <v>0.85470000000000002</v>
      </c>
      <c r="AB37" s="103">
        <f t="shared" si="6"/>
        <v>0.15738498789346256</v>
      </c>
      <c r="AC37" s="103">
        <f t="shared" si="7"/>
        <v>-0.67888619854721555</v>
      </c>
      <c r="AD37" s="103">
        <f t="shared" si="8"/>
        <v>-0.46051113801452787</v>
      </c>
      <c r="AE37" s="103">
        <f t="shared" si="9"/>
        <v>-0.9820123486682808</v>
      </c>
      <c r="AF37" s="103">
        <f t="shared" si="10"/>
        <v>220.28938470000003</v>
      </c>
      <c r="AG37" s="102">
        <f t="shared" si="11"/>
        <v>0.98926890133171863</v>
      </c>
      <c r="AH37" s="100">
        <f t="shared" si="12"/>
        <v>20.754803578781839</v>
      </c>
      <c r="AI37" s="104">
        <f t="shared" si="13"/>
        <v>9.4216085841116057E-2</v>
      </c>
      <c r="AJ37" s="100">
        <f t="shared" si="29"/>
        <v>13.046706401331722</v>
      </c>
      <c r="AK37" s="100">
        <f t="shared" si="14"/>
        <v>273.7191357629444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5</v>
      </c>
      <c r="AN37" s="100">
        <f t="shared" si="15"/>
        <v>4.5179876513317199</v>
      </c>
      <c r="AO37" s="100">
        <f t="shared" si="16"/>
        <v>0.21</v>
      </c>
      <c r="AP37" s="100">
        <f t="shared" si="17"/>
        <v>0.26</v>
      </c>
      <c r="AQ37" s="212">
        <f>IFERROR(INDEX(AUXILIAR!$AG$3:$AG$28,MATCH(G37,AUXILIAR!$AH$3:$AH$28,1))*AM37,0)</f>
        <v>2.0587187500000006</v>
      </c>
      <c r="AR37" s="105">
        <f>IF(R37="GUILHOTINA",IFERROR(VLOOKUP(G37,AUXILIAR!$Q:$S,3,FALSE),""),IF(R37="LASER",IFERROR(VLOOKUP(G37,AUXILIAR!$E:$I,3,FALSE),""),IF(R37="PLASMA",IFERROR(VLOOKUP(G37,AUXILIAR!$K:$O,3,FALSE),""),"")))</f>
        <v>1870</v>
      </c>
      <c r="AS37" s="89">
        <f t="shared" si="18"/>
        <v>16830</v>
      </c>
      <c r="AT37" s="89">
        <f t="shared" si="19"/>
        <v>336600</v>
      </c>
      <c r="AU37" s="89">
        <f t="shared" si="20"/>
        <v>15948.672105403162</v>
      </c>
      <c r="AV37" s="89">
        <f t="shared" si="21"/>
        <v>797.43360527015807</v>
      </c>
      <c r="AW37" s="89">
        <f t="shared" si="22"/>
        <v>15948.672105403162</v>
      </c>
      <c r="AX37" s="89">
        <f>IFERROR(
IF($R37="LASER",
   VLOOKUP($G37,AUXILIAR!$E$3:$G$27,3,FALSE),
IF($R37="PLASMA",
   VLOOKUP($G37,AUXILIAR!$K$6:$M$28,3,FALSE),
0)),
0)</f>
        <v>1870</v>
      </c>
      <c r="AY37" s="89">
        <f t="shared" si="23"/>
        <v>226.1946710584651</v>
      </c>
      <c r="AZ37" s="89">
        <f t="shared" si="24"/>
        <v>1870</v>
      </c>
      <c r="BA37" s="201">
        <f t="shared" si="25"/>
        <v>0.12095971714356422</v>
      </c>
      <c r="BB37" s="201">
        <f t="shared" si="26"/>
        <v>0.16666666666666666</v>
      </c>
      <c r="BC37" s="201">
        <f t="shared" si="27"/>
        <v>0.78762638381023087</v>
      </c>
      <c r="BD37" s="201">
        <f t="shared" si="34"/>
        <v>0.45</v>
      </c>
      <c r="BE37" s="89">
        <f t="shared" si="30"/>
        <v>841.5</v>
      </c>
      <c r="BF37" s="91">
        <f t="shared" si="31"/>
        <v>0.18333333333333335</v>
      </c>
      <c r="BG37" s="91">
        <f t="shared" si="32"/>
        <v>1.3333333333333334E-2</v>
      </c>
      <c r="BH37" s="201">
        <f t="shared" si="33"/>
        <v>19.936963407462233</v>
      </c>
    </row>
    <row r="38" spans="1:60" x14ac:dyDescent="0.35">
      <c r="A38" s="85">
        <v>3253</v>
      </c>
      <c r="B38" s="85" t="s">
        <v>226</v>
      </c>
      <c r="C38" s="85">
        <v>10</v>
      </c>
      <c r="D38" s="85" t="s">
        <v>44</v>
      </c>
      <c r="E38" s="86">
        <v>0</v>
      </c>
      <c r="F38" s="86"/>
      <c r="G38" s="86">
        <v>6.35</v>
      </c>
      <c r="H38" s="87">
        <v>139</v>
      </c>
      <c r="I38" s="87">
        <v>48</v>
      </c>
      <c r="J38" s="85"/>
      <c r="K38" s="99">
        <v>1200</v>
      </c>
      <c r="L38" s="90">
        <f t="shared" si="0"/>
        <v>0.33258251999999994</v>
      </c>
      <c r="M38" s="198">
        <f t="shared" si="1"/>
        <v>3.3258251999999993</v>
      </c>
      <c r="N38" s="91">
        <f t="shared" si="2"/>
        <v>1.8333333333333333</v>
      </c>
      <c r="O38" s="211">
        <f>IF(L38="",0,IFERROR(IF($M$2="ESTUDO",BH38,N38)+INDEX(AUXILIAR!$AO$3:$AO$8,MATCH(L38,{0;2;5;10;20;50},1))*1440,IF(M38="ESTUDO",BH38,N38)))</f>
        <v>11.109761904761905</v>
      </c>
      <c r="P38" s="100">
        <f t="shared" si="3"/>
        <v>3.4965000000000002</v>
      </c>
      <c r="Q38" s="100">
        <f t="shared" si="4"/>
        <v>34.965000000000003</v>
      </c>
      <c r="R38" s="92" t="s">
        <v>0</v>
      </c>
      <c r="S38" s="88">
        <f t="shared" si="5"/>
        <v>10.5</v>
      </c>
      <c r="T38" s="100">
        <f>((AM38/(1+AUXILIAR!$BJ$4))-((AM38/(1+AUXILIAR!$BJ$4))*AUXILIAR!$BK$4))-(((AM38/(1+AUXILIAR!$BJ$4))-((AM38/(1+AUXILIAR!$BJ$4))*AUXILIAR!$BK$4))*((AUXILIAR!$BL$4+AUXILIAR!$BM$4)))</f>
        <v>3.867312348668281</v>
      </c>
      <c r="U38" s="100">
        <f>((S38/(1+AUXILIAR!$BJ$7))-((S38/(1+AUXILIAR!$BJ$7))*AUXILIAR!$BK$7))-(((S38/(1+AUXILIAR!$BJ$7))-((S38/(1+AUXILIAR!$BJ$7))*AUXILIAR!$BK$7))*((AUXILIAR!$BL$7+AUXILIAR!$BM$7)))</f>
        <v>8.3853000000000009</v>
      </c>
      <c r="V38" s="101">
        <f>AM38-(AM38/(1+AUXILIAR!$BJ$4))</f>
        <v>0.15738498789346256</v>
      </c>
      <c r="W38" s="102">
        <f>(AM38-V38)*AUXILIAR!$BK$4</f>
        <v>0.58111380145278446</v>
      </c>
      <c r="X38" s="102">
        <f>(AM38-V38-W38)*(AUXILIAR!$BL$4+AUXILIAR!$BM$4)</f>
        <v>0.39418886198547215</v>
      </c>
      <c r="Y38" s="102">
        <f>X38-(X38/(1+AUXILIAR!$BJ$7))</f>
        <v>0</v>
      </c>
      <c r="Z38" s="102">
        <f>(S38-Y38)*AUXILIAR!$BK$7</f>
        <v>1.26</v>
      </c>
      <c r="AA38" s="102">
        <f>(S38-Y38-Z38)*(AUXILIAR!$BL$7+AUXILIAR!$BM$7)</f>
        <v>0.85470000000000002</v>
      </c>
      <c r="AB38" s="103">
        <f t="shared" si="6"/>
        <v>0.15738498789346256</v>
      </c>
      <c r="AC38" s="103">
        <f t="shared" si="7"/>
        <v>-0.67888619854721555</v>
      </c>
      <c r="AD38" s="103">
        <f t="shared" si="8"/>
        <v>-0.46051113801452787</v>
      </c>
      <c r="AE38" s="103">
        <f t="shared" si="9"/>
        <v>-0.9820123486682808</v>
      </c>
      <c r="AF38" s="103">
        <f t="shared" si="10"/>
        <v>34.92116459999999</v>
      </c>
      <c r="AG38" s="102">
        <f t="shared" si="11"/>
        <v>2.5479876513317192</v>
      </c>
      <c r="AH38" s="100">
        <f t="shared" si="12"/>
        <v>8.4741615400878434</v>
      </c>
      <c r="AI38" s="104">
        <f t="shared" si="13"/>
        <v>0.24266549060302087</v>
      </c>
      <c r="AJ38" s="100">
        <f t="shared" si="29"/>
        <v>11.48798765133172</v>
      </c>
      <c r="AK38" s="100">
        <f t="shared" si="14"/>
        <v>38.207038828087839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5</v>
      </c>
      <c r="AN38" s="100">
        <f t="shared" si="15"/>
        <v>4.5179876513317199</v>
      </c>
      <c r="AO38" s="100">
        <f t="shared" si="16"/>
        <v>0.21</v>
      </c>
      <c r="AP38" s="100">
        <f t="shared" si="17"/>
        <v>0.26</v>
      </c>
      <c r="AQ38" s="212">
        <f>IFERROR(INDEX(AUXILIAR!$AG$3:$AG$28,MATCH(G38,AUXILIAR!$AH$3:$AH$28,1))*AM38,0)</f>
        <v>0.5</v>
      </c>
      <c r="AR38" s="105">
        <f>IF(R38="GUILHOTINA",IFERROR(VLOOKUP(G38,AUXILIAR!$Q:$S,3,FALSE),""),IF(R38="LASER",IFERROR(VLOOKUP(G38,AUXILIAR!$E:$I,3,FALSE),""),IF(R38="PLASMA",IFERROR(VLOOKUP(G38,AUXILIAR!$K:$O,3,FALSE),""),"")))</f>
        <v>2040</v>
      </c>
      <c r="AS38" s="89">
        <f t="shared" si="18"/>
        <v>6672</v>
      </c>
      <c r="AT38" s="89">
        <f t="shared" si="19"/>
        <v>66720</v>
      </c>
      <c r="AU38" s="89">
        <f t="shared" si="20"/>
        <v>3740</v>
      </c>
      <c r="AV38" s="89">
        <f t="shared" si="21"/>
        <v>374</v>
      </c>
      <c r="AW38" s="89">
        <f t="shared" si="22"/>
        <v>3740</v>
      </c>
      <c r="AX38" s="89">
        <f>IFERROR(
IF($R38="LASER",
   VLOOKUP($G38,AUXILIAR!$E$3:$G$27,3,FALSE),
IF($R38="PLASMA",
   VLOOKUP($G38,AUXILIAR!$K$6:$M$28,3,FALSE),
0)),
0)</f>
        <v>2040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0.35</v>
      </c>
      <c r="BE38" s="89">
        <f t="shared" si="30"/>
        <v>714</v>
      </c>
      <c r="BF38" s="91">
        <f t="shared" si="31"/>
        <v>2.5000000000000001E-2</v>
      </c>
      <c r="BG38" s="91">
        <f t="shared" si="32"/>
        <v>1.3333333333333334E-2</v>
      </c>
      <c r="BH38" s="201">
        <f t="shared" si="33"/>
        <v>5.2764285714285721</v>
      </c>
    </row>
    <row r="39" spans="1:60" x14ac:dyDescent="0.35">
      <c r="A39" s="85">
        <v>3253</v>
      </c>
      <c r="B39" s="85" t="s">
        <v>227</v>
      </c>
      <c r="C39" s="85">
        <v>8</v>
      </c>
      <c r="D39" s="85" t="s">
        <v>44</v>
      </c>
      <c r="E39" s="86">
        <v>2</v>
      </c>
      <c r="F39" s="86">
        <v>18</v>
      </c>
      <c r="G39" s="86">
        <v>7.94</v>
      </c>
      <c r="H39" s="87">
        <v>113</v>
      </c>
      <c r="I39" s="87">
        <v>110</v>
      </c>
      <c r="J39" s="85"/>
      <c r="K39" s="99">
        <v>1200</v>
      </c>
      <c r="L39" s="90">
        <f t="shared" si="0"/>
        <v>0.77474947000000005</v>
      </c>
      <c r="M39" s="198">
        <f t="shared" si="1"/>
        <v>6.1979957600000004</v>
      </c>
      <c r="N39" s="91">
        <f t="shared" si="2"/>
        <v>2.8824412245685553</v>
      </c>
      <c r="O39" s="211">
        <f>IF(L39="",0,IFERROR(IF($M$2="ESTUDO",BH39,N39)+INDEX(AUXILIAR!$AO$3:$AO$8,MATCH(L39,{0;2;5;10;20;50},1))*1440,IF(M39="ESTUDO",BH39,N39)))</f>
        <v>11.880764375601649</v>
      </c>
      <c r="P39" s="100">
        <f t="shared" si="3"/>
        <v>8.1375000000000011</v>
      </c>
      <c r="Q39" s="100">
        <f t="shared" si="4"/>
        <v>65.100000000000009</v>
      </c>
      <c r="R39" s="92" t="s">
        <v>0</v>
      </c>
      <c r="S39" s="88">
        <f t="shared" si="5"/>
        <v>10.5</v>
      </c>
      <c r="T39" s="100">
        <f>((AM39/(1+AUXILIAR!$BJ$4))-((AM39/(1+AUXILIAR!$BJ$4))*AUXILIAR!$BK$4))-(((AM39/(1+AUXILIAR!$BJ$4))-((AM39/(1+AUXILIAR!$BJ$4))*AUXILIAR!$BK$4))*((AUXILIAR!$BL$4+AUXILIAR!$BM$4)))</f>
        <v>3.867312348668281</v>
      </c>
      <c r="U39" s="100">
        <f>((S39/(1+AUXILIAR!$BJ$7))-((S39/(1+AUXILIAR!$BJ$7))*AUXILIAR!$BK$7))-(((S39/(1+AUXILIAR!$BJ$7))-((S39/(1+AUXILIAR!$BJ$7))*AUXILIAR!$BK$7))*((AUXILIAR!$BL$7+AUXILIAR!$BM$7)))</f>
        <v>8.3853000000000009</v>
      </c>
      <c r="V39" s="101">
        <f>AM39-(AM39/(1+AUXILIAR!$BJ$4))</f>
        <v>0.15738498789346256</v>
      </c>
      <c r="W39" s="102">
        <f>(AM39-V39)*AUXILIAR!$BK$4</f>
        <v>0.58111380145278446</v>
      </c>
      <c r="X39" s="102">
        <f>(AM39-V39-W39)*(AUXILIAR!$BL$4+AUXILIAR!$BM$4)</f>
        <v>0.39418886198547215</v>
      </c>
      <c r="Y39" s="102">
        <f>X39-(X39/(1+AUXILIAR!$BJ$7))</f>
        <v>0</v>
      </c>
      <c r="Z39" s="102">
        <f>(S39-Y39)*AUXILIAR!$BK$7</f>
        <v>1.26</v>
      </c>
      <c r="AA39" s="102">
        <f>(S39-Y39-Z39)*(AUXILIAR!$BL$7+AUXILIAR!$BM$7)</f>
        <v>0.85470000000000002</v>
      </c>
      <c r="AB39" s="103">
        <f t="shared" si="6"/>
        <v>0.15738498789346256</v>
      </c>
      <c r="AC39" s="103">
        <f t="shared" si="7"/>
        <v>-0.67888619854721555</v>
      </c>
      <c r="AD39" s="103">
        <f t="shared" si="8"/>
        <v>-0.46051113801452787</v>
      </c>
      <c r="AE39" s="103">
        <f t="shared" si="9"/>
        <v>-0.9820123486682808</v>
      </c>
      <c r="AF39" s="103">
        <f t="shared" si="10"/>
        <v>65.078955480000005</v>
      </c>
      <c r="AG39" s="102">
        <f t="shared" si="11"/>
        <v>0.98926890133171863</v>
      </c>
      <c r="AH39" s="100">
        <f t="shared" si="12"/>
        <v>6.1314844559538511</v>
      </c>
      <c r="AI39" s="104">
        <f t="shared" si="13"/>
        <v>9.4216085841116057E-2</v>
      </c>
      <c r="AJ39" s="100">
        <f t="shared" si="29"/>
        <v>13.046706401331722</v>
      </c>
      <c r="AK39" s="100">
        <f t="shared" si="14"/>
        <v>80.863430957418871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5</v>
      </c>
      <c r="AN39" s="100">
        <f t="shared" si="15"/>
        <v>4.5179876513317199</v>
      </c>
      <c r="AO39" s="100">
        <f t="shared" si="16"/>
        <v>0.21</v>
      </c>
      <c r="AP39" s="100">
        <f t="shared" si="17"/>
        <v>0.26</v>
      </c>
      <c r="AQ39" s="212">
        <f>IFERROR(INDEX(AUXILIAR!$AG$3:$AG$28,MATCH(G39,AUXILIAR!$AH$3:$AH$28,1))*AM39,0)</f>
        <v>2.0587187500000006</v>
      </c>
      <c r="AR39" s="105">
        <f>IF(R39="GUILHOTINA",IFERROR(VLOOKUP(G39,AUXILIAR!$Q:$S,3,FALSE),""),IF(R39="LASER",IFERROR(VLOOKUP(G39,AUXILIAR!$E:$I,3,FALSE),""),IF(R39="PLASMA",IFERROR(VLOOKUP(G39,AUXILIAR!$K:$O,3,FALSE),""),"")))</f>
        <v>1870</v>
      </c>
      <c r="AS39" s="89">
        <f t="shared" si="18"/>
        <v>12430</v>
      </c>
      <c r="AT39" s="89">
        <f t="shared" si="19"/>
        <v>99440</v>
      </c>
      <c r="AU39" s="89">
        <f t="shared" si="20"/>
        <v>4653.7344210806323</v>
      </c>
      <c r="AV39" s="89">
        <f t="shared" si="21"/>
        <v>581.71680263507903</v>
      </c>
      <c r="AW39" s="89">
        <f t="shared" si="22"/>
        <v>4653.7344210806323</v>
      </c>
      <c r="AX39" s="89">
        <f>IFERROR(
IF($R39="LASER",
   VLOOKUP($G39,AUXILIAR!$E$3:$G$27,3,FALSE),
IF($R39="PLASMA",
   VLOOKUP($G39,AUXILIAR!$K$6:$M$28,3,FALSE),
0)),
0)</f>
        <v>1870</v>
      </c>
      <c r="AY39" s="89">
        <f t="shared" si="23"/>
        <v>113.09733552923255</v>
      </c>
      <c r="AZ39" s="89">
        <f t="shared" si="24"/>
        <v>1870</v>
      </c>
      <c r="BA39" s="201">
        <f t="shared" si="25"/>
        <v>6.0479858571782112E-2</v>
      </c>
      <c r="BB39" s="201">
        <f t="shared" si="26"/>
        <v>0.16666666666666666</v>
      </c>
      <c r="BC39" s="201">
        <f t="shared" si="27"/>
        <v>0.39381319190511543</v>
      </c>
      <c r="BD39" s="201">
        <f t="shared" si="34"/>
        <v>0.45</v>
      </c>
      <c r="BE39" s="89">
        <f t="shared" si="30"/>
        <v>841.5</v>
      </c>
      <c r="BF39" s="91">
        <f t="shared" si="31"/>
        <v>0.11</v>
      </c>
      <c r="BG39" s="91">
        <f t="shared" si="32"/>
        <v>1.3333333333333334E-2</v>
      </c>
      <c r="BH39" s="201">
        <f t="shared" si="33"/>
        <v>6.0474310422683155</v>
      </c>
    </row>
    <row r="40" spans="1:60" x14ac:dyDescent="0.35">
      <c r="A40" s="85">
        <v>3253</v>
      </c>
      <c r="B40" s="85" t="s">
        <v>228</v>
      </c>
      <c r="C40" s="85">
        <v>6</v>
      </c>
      <c r="D40" s="85" t="s">
        <v>44</v>
      </c>
      <c r="E40" s="86">
        <v>2</v>
      </c>
      <c r="F40" s="86">
        <v>14</v>
      </c>
      <c r="G40" s="86">
        <v>6.35</v>
      </c>
      <c r="H40" s="87">
        <v>108</v>
      </c>
      <c r="I40" s="87">
        <v>90</v>
      </c>
      <c r="J40" s="85"/>
      <c r="K40" s="99">
        <v>1200</v>
      </c>
      <c r="L40" s="90">
        <f t="shared" si="0"/>
        <v>0.48451769999999994</v>
      </c>
      <c r="M40" s="198">
        <f t="shared" si="1"/>
        <v>2.9071061999999994</v>
      </c>
      <c r="N40" s="91">
        <f t="shared" si="2"/>
        <v>1.8516223888550083</v>
      </c>
      <c r="O40" s="211">
        <f>IF(L40="",0,IFERROR(IF($M$2="ESTUDO",BH40,N40)+INDEX(AUXILIAR!$AO$3:$AO$8,MATCH(L40,{0;2;5;10;20;50},1))*1440,IF(M40="ESTUDO",BH40,N40)))</f>
        <v>9.5762735799552665</v>
      </c>
      <c r="P40" s="100">
        <f t="shared" si="3"/>
        <v>5.0925000000000002</v>
      </c>
      <c r="Q40" s="100">
        <f t="shared" si="4"/>
        <v>30.555</v>
      </c>
      <c r="R40" s="92" t="s">
        <v>0</v>
      </c>
      <c r="S40" s="88">
        <f t="shared" si="5"/>
        <v>10.5</v>
      </c>
      <c r="T40" s="100">
        <f>((AM40/(1+AUXILIAR!$BJ$4))-((AM40/(1+AUXILIAR!$BJ$4))*AUXILIAR!$BK$4))-(((AM40/(1+AUXILIAR!$BJ$4))-((AM40/(1+AUXILIAR!$BJ$4))*AUXILIAR!$BK$4))*((AUXILIAR!$BL$4+AUXILIAR!$BM$4)))</f>
        <v>3.867312348668281</v>
      </c>
      <c r="U40" s="100">
        <f>((S40/(1+AUXILIAR!$BJ$7))-((S40/(1+AUXILIAR!$BJ$7))*AUXILIAR!$BK$7))-(((S40/(1+AUXILIAR!$BJ$7))-((S40/(1+AUXILIAR!$BJ$7))*AUXILIAR!$BK$7))*((AUXILIAR!$BL$7+AUXILIAR!$BM$7)))</f>
        <v>8.3853000000000009</v>
      </c>
      <c r="V40" s="101">
        <f>AM40-(AM40/(1+AUXILIAR!$BJ$4))</f>
        <v>0.15738498789346256</v>
      </c>
      <c r="W40" s="102">
        <f>(AM40-V40)*AUXILIAR!$BK$4</f>
        <v>0.58111380145278446</v>
      </c>
      <c r="X40" s="102">
        <f>(AM40-V40-W40)*(AUXILIAR!$BL$4+AUXILIAR!$BM$4)</f>
        <v>0.39418886198547215</v>
      </c>
      <c r="Y40" s="102">
        <f>X40-(X40/(1+AUXILIAR!$BJ$7))</f>
        <v>0</v>
      </c>
      <c r="Z40" s="102">
        <f>(S40-Y40)*AUXILIAR!$BK$7</f>
        <v>1.26</v>
      </c>
      <c r="AA40" s="102">
        <f>(S40-Y40-Z40)*(AUXILIAR!$BL$7+AUXILIAR!$BM$7)</f>
        <v>0.85470000000000002</v>
      </c>
      <c r="AB40" s="103">
        <f t="shared" si="6"/>
        <v>0.15738498789346256</v>
      </c>
      <c r="AC40" s="103">
        <f t="shared" si="7"/>
        <v>-0.67888619854721555</v>
      </c>
      <c r="AD40" s="103">
        <f t="shared" si="8"/>
        <v>-0.46051113801452787</v>
      </c>
      <c r="AE40" s="103">
        <f t="shared" si="9"/>
        <v>-0.9820123486682808</v>
      </c>
      <c r="AF40" s="103">
        <f t="shared" si="10"/>
        <v>30.524615099999995</v>
      </c>
      <c r="AG40" s="102">
        <f t="shared" si="11"/>
        <v>2.5479876513317192</v>
      </c>
      <c r="AH40" s="100">
        <f t="shared" si="12"/>
        <v>7.407270698709878</v>
      </c>
      <c r="AI40" s="104">
        <f t="shared" si="13"/>
        <v>0.24266549060302087</v>
      </c>
      <c r="AJ40" s="100">
        <f t="shared" si="29"/>
        <v>11.48798765133172</v>
      </c>
      <c r="AK40" s="100">
        <f t="shared" si="14"/>
        <v>33.396800126709877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5</v>
      </c>
      <c r="AN40" s="100">
        <f t="shared" si="15"/>
        <v>4.5179876513317199</v>
      </c>
      <c r="AO40" s="100">
        <f t="shared" si="16"/>
        <v>0.21</v>
      </c>
      <c r="AP40" s="100">
        <f t="shared" si="17"/>
        <v>0.26</v>
      </c>
      <c r="AQ40" s="212">
        <f>IFERROR(INDEX(AUXILIAR!$AG$3:$AG$28,MATCH(G40,AUXILIAR!$AH$3:$AH$28,1))*AM40,0)</f>
        <v>0.5</v>
      </c>
      <c r="AR40" s="105">
        <f>IF(R40="GUILHOTINA",IFERROR(VLOOKUP(G40,AUXILIAR!$Q:$S,3,FALSE),""),IF(R40="LASER",IFERROR(VLOOKUP(G40,AUXILIAR!$E:$I,3,FALSE),""),IF(R40="PLASMA",IFERROR(VLOOKUP(G40,AUXILIAR!$K:$O,3,FALSE),""),"")))</f>
        <v>2040</v>
      </c>
      <c r="AS40" s="89">
        <f t="shared" si="18"/>
        <v>9720</v>
      </c>
      <c r="AT40" s="89">
        <f t="shared" si="19"/>
        <v>58320</v>
      </c>
      <c r="AU40" s="89">
        <f t="shared" si="20"/>
        <v>3009.3450789637027</v>
      </c>
      <c r="AV40" s="89">
        <f t="shared" si="21"/>
        <v>501.55751316061708</v>
      </c>
      <c r="AW40" s="89">
        <f t="shared" si="22"/>
        <v>3009.3450789637027</v>
      </c>
      <c r="AX40" s="89">
        <f>IFERROR(
IF($R40="LASER",
   VLOOKUP($G40,AUXILIAR!$E$3:$G$27,3,FALSE),
IF($R40="PLASMA",
   VLOOKUP($G40,AUXILIAR!$K$6:$M$28,3,FALSE),
0)),
0)</f>
        <v>2040</v>
      </c>
      <c r="AY40" s="89">
        <f t="shared" si="23"/>
        <v>87.964594300514207</v>
      </c>
      <c r="AZ40" s="89">
        <f t="shared" si="24"/>
        <v>2040</v>
      </c>
      <c r="BA40" s="201">
        <f t="shared" si="25"/>
        <v>4.3119899166918732E-2</v>
      </c>
      <c r="BB40" s="201">
        <f t="shared" si="26"/>
        <v>0.16666666666666666</v>
      </c>
      <c r="BC40" s="201">
        <f t="shared" si="27"/>
        <v>0.37645323250025203</v>
      </c>
      <c r="BD40" s="201">
        <f t="shared" si="34"/>
        <v>0.45</v>
      </c>
      <c r="BE40" s="89">
        <f t="shared" si="30"/>
        <v>918</v>
      </c>
      <c r="BF40" s="91">
        <f t="shared" si="31"/>
        <v>7.5000000000000011E-2</v>
      </c>
      <c r="BG40" s="91">
        <f t="shared" si="32"/>
        <v>1.3333333333333334E-2</v>
      </c>
      <c r="BH40" s="201">
        <f t="shared" si="33"/>
        <v>3.7429402466219326</v>
      </c>
    </row>
    <row r="41" spans="1:60" x14ac:dyDescent="0.35">
      <c r="A41" s="85">
        <v>3253</v>
      </c>
      <c r="B41" s="85" t="s">
        <v>229</v>
      </c>
      <c r="C41" s="85">
        <v>5</v>
      </c>
      <c r="D41" s="85" t="s">
        <v>44</v>
      </c>
      <c r="E41" s="86">
        <v>4</v>
      </c>
      <c r="F41" s="86">
        <v>18</v>
      </c>
      <c r="G41" s="86">
        <v>12.7</v>
      </c>
      <c r="H41" s="87">
        <v>250</v>
      </c>
      <c r="I41" s="87">
        <v>150</v>
      </c>
      <c r="J41" s="85"/>
      <c r="K41" s="99">
        <v>1200</v>
      </c>
      <c r="L41" s="90">
        <f t="shared" si="0"/>
        <v>3.7385625</v>
      </c>
      <c r="M41" s="198">
        <f t="shared" si="1"/>
        <v>18.692812499999999</v>
      </c>
      <c r="N41" s="91">
        <f t="shared" si="2"/>
        <v>5.1218064868392368</v>
      </c>
      <c r="O41" s="211">
        <f>IF(L41="",0,IFERROR(IF($M$2="ESTUDO",BH41,N41)+INDEX(AUXILIAR!$AO$3:$AO$8,MATCH(L41,{0;2;5;10;20;50},1))*1440,IF(M41="ESTUDO",BH41,N41)))</f>
        <v>16.59294009538867</v>
      </c>
      <c r="P41" s="100">
        <f t="shared" si="3"/>
        <v>39.249000000000002</v>
      </c>
      <c r="Q41" s="100">
        <f t="shared" si="4"/>
        <v>196.245</v>
      </c>
      <c r="R41" s="92" t="s">
        <v>0</v>
      </c>
      <c r="S41" s="88">
        <f t="shared" si="5"/>
        <v>10.5</v>
      </c>
      <c r="T41" s="100">
        <f>((AM41/(1+AUXILIAR!$BJ$4))-((AM41/(1+AUXILIAR!$BJ$4))*AUXILIAR!$BK$4))-(((AM41/(1+AUXILIAR!$BJ$4))-((AM41/(1+AUXILIAR!$BJ$4))*AUXILIAR!$BK$4))*((AUXILIAR!$BL$4+AUXILIAR!$BM$4)))</f>
        <v>3.867312348668281</v>
      </c>
      <c r="U41" s="100">
        <f>((S41/(1+AUXILIAR!$BJ$7))-((S41/(1+AUXILIAR!$BJ$7))*AUXILIAR!$BK$7))-(((S41/(1+AUXILIAR!$BJ$7))-((S41/(1+AUXILIAR!$BJ$7))*AUXILIAR!$BK$7))*((AUXILIAR!$BL$7+AUXILIAR!$BM$7)))</f>
        <v>8.3853000000000009</v>
      </c>
      <c r="V41" s="101">
        <f>AM41-(AM41/(1+AUXILIAR!$BJ$4))</f>
        <v>0.15738498789346256</v>
      </c>
      <c r="W41" s="102">
        <f>(AM41-V41)*AUXILIAR!$BK$4</f>
        <v>0.58111380145278446</v>
      </c>
      <c r="X41" s="102">
        <f>(AM41-V41-W41)*(AUXILIAR!$BL$4+AUXILIAR!$BM$4)</f>
        <v>0.39418886198547215</v>
      </c>
      <c r="Y41" s="102">
        <f>X41-(X41/(1+AUXILIAR!$BJ$7))</f>
        <v>0</v>
      </c>
      <c r="Z41" s="102">
        <f>(S41-Y41)*AUXILIAR!$BK$7</f>
        <v>1.26</v>
      </c>
      <c r="AA41" s="102">
        <f>(S41-Y41-Z41)*(AUXILIAR!$BL$7+AUXILIAR!$BM$7)</f>
        <v>0.85470000000000002</v>
      </c>
      <c r="AB41" s="103">
        <f t="shared" si="6"/>
        <v>0.15738498789346256</v>
      </c>
      <c r="AC41" s="103">
        <f t="shared" si="7"/>
        <v>-0.67888619854721555</v>
      </c>
      <c r="AD41" s="103">
        <f t="shared" si="8"/>
        <v>-0.46051113801452787</v>
      </c>
      <c r="AE41" s="103">
        <f t="shared" si="9"/>
        <v>-0.9820123486682808</v>
      </c>
      <c r="AF41" s="103">
        <f t="shared" si="10"/>
        <v>196.27453125</v>
      </c>
      <c r="AG41" s="102">
        <f t="shared" si="11"/>
        <v>-1.2029567931127243</v>
      </c>
      <c r="AH41" s="100">
        <f t="shared" si="12"/>
        <v>-22.486645779257444</v>
      </c>
      <c r="AI41" s="104">
        <f t="shared" si="13"/>
        <v>-0.11456731362978327</v>
      </c>
      <c r="AJ41" s="100">
        <f t="shared" si="29"/>
        <v>15.238932095776164</v>
      </c>
      <c r="AK41" s="100">
        <f t="shared" si="14"/>
        <v>284.85850036657587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5</v>
      </c>
      <c r="AN41" s="100">
        <f t="shared" si="15"/>
        <v>4.5179876513317199</v>
      </c>
      <c r="AO41" s="100">
        <f t="shared" si="16"/>
        <v>0.21</v>
      </c>
      <c r="AP41" s="100">
        <f t="shared" si="17"/>
        <v>0.26</v>
      </c>
      <c r="AQ41" s="212">
        <f>IFERROR(INDEX(AUXILIAR!$AG$3:$AG$28,MATCH(G41,AUXILIAR!$AH$3:$AH$28,1))*AM41,0)</f>
        <v>4.2509444444444435</v>
      </c>
      <c r="AR41" s="105">
        <f>IF(R41="GUILHOTINA",IFERROR(VLOOKUP(G41,AUXILIAR!$Q:$S,3,FALSE),""),IF(R41="LASER",IFERROR(VLOOKUP(G41,AUXILIAR!$E:$I,3,FALSE),""),IF(R41="PLASMA",IFERROR(VLOOKUP(G41,AUXILIAR!$K:$O,3,FALSE),""),"")))</f>
        <v>1275</v>
      </c>
      <c r="AS41" s="89">
        <f t="shared" si="18"/>
        <v>37500</v>
      </c>
      <c r="AT41" s="89">
        <f t="shared" si="19"/>
        <v>187500</v>
      </c>
      <c r="AU41" s="89">
        <f t="shared" si="20"/>
        <v>5357.1680263507906</v>
      </c>
      <c r="AV41" s="89">
        <f t="shared" si="21"/>
        <v>1071.4336052701581</v>
      </c>
      <c r="AW41" s="89">
        <f t="shared" si="22"/>
        <v>5357.1680263507906</v>
      </c>
      <c r="AX41" s="89">
        <f>IFERROR(
IF($R41="LASER",
   VLOOKUP($G41,AUXILIAR!$E$3:$G$27,3,FALSE),
IF($R41="PLASMA",
   VLOOKUP($G41,AUXILIAR!$K$6:$M$28,3,FALSE),
0)),
0)</f>
        <v>1275</v>
      </c>
      <c r="AY41" s="89">
        <f t="shared" si="23"/>
        <v>226.1946710584651</v>
      </c>
      <c r="AZ41" s="89">
        <f t="shared" si="24"/>
        <v>892.5</v>
      </c>
      <c r="BA41" s="201">
        <f t="shared" si="25"/>
        <v>0.2534394073484203</v>
      </c>
      <c r="BB41" s="201">
        <f t="shared" si="26"/>
        <v>0.16666666666666666</v>
      </c>
      <c r="BC41" s="201">
        <f t="shared" si="27"/>
        <v>0.92010607401508693</v>
      </c>
      <c r="BD41" s="201">
        <f t="shared" si="34"/>
        <v>0.6</v>
      </c>
      <c r="BE41" s="89">
        <f t="shared" si="30"/>
        <v>765</v>
      </c>
      <c r="BF41" s="91">
        <f t="shared" si="31"/>
        <v>0.25</v>
      </c>
      <c r="BG41" s="91">
        <f t="shared" si="32"/>
        <v>0.02</v>
      </c>
      <c r="BH41" s="201">
        <f t="shared" si="33"/>
        <v>8.1929400953886677</v>
      </c>
    </row>
    <row r="42" spans="1:60" x14ac:dyDescent="0.35">
      <c r="A42" s="85">
        <v>3253</v>
      </c>
      <c r="B42" s="85" t="s">
        <v>230</v>
      </c>
      <c r="C42" s="85">
        <v>5</v>
      </c>
      <c r="D42" s="85" t="s">
        <v>44</v>
      </c>
      <c r="E42" s="86">
        <v>0</v>
      </c>
      <c r="F42" s="86"/>
      <c r="G42" s="86">
        <v>9.5299999999999994</v>
      </c>
      <c r="H42" s="87">
        <v>263</v>
      </c>
      <c r="I42" s="87">
        <v>122</v>
      </c>
      <c r="J42" s="85"/>
      <c r="K42" s="99">
        <v>1200</v>
      </c>
      <c r="L42" s="90">
        <f t="shared" si="0"/>
        <v>2.400369703</v>
      </c>
      <c r="M42" s="198">
        <f t="shared" si="1"/>
        <v>12.001848514999999</v>
      </c>
      <c r="N42" s="91">
        <f t="shared" si="2"/>
        <v>2.3839009287925697</v>
      </c>
      <c r="O42" s="211">
        <f>IF(L42="",0,IFERROR(IF($M$2="ESTUDO",BH42,N42)+INDEX(AUXILIAR!$AO$3:$AO$8,MATCH(L42,{0;2;5;10;20;50},1))*1440,IF(M42="ESTUDO",BH42,N42)))</f>
        <v>13.747557619539045</v>
      </c>
      <c r="P42" s="100">
        <f t="shared" si="3"/>
        <v>25.2</v>
      </c>
      <c r="Q42" s="100">
        <f t="shared" si="4"/>
        <v>126</v>
      </c>
      <c r="R42" s="92" t="s">
        <v>0</v>
      </c>
      <c r="S42" s="88">
        <f t="shared" si="5"/>
        <v>10.5</v>
      </c>
      <c r="T42" s="100">
        <f>((AM42/(1+AUXILIAR!$BJ$4))-((AM42/(1+AUXILIAR!$BJ$4))*AUXILIAR!$BK$4))-(((AM42/(1+AUXILIAR!$BJ$4))-((AM42/(1+AUXILIAR!$BJ$4))*AUXILIAR!$BK$4))*((AUXILIAR!$BL$4+AUXILIAR!$BM$4)))</f>
        <v>3.867312348668281</v>
      </c>
      <c r="U42" s="100">
        <f>((S42/(1+AUXILIAR!$BJ$7))-((S42/(1+AUXILIAR!$BJ$7))*AUXILIAR!$BK$7))-(((S42/(1+AUXILIAR!$BJ$7))-((S42/(1+AUXILIAR!$BJ$7))*AUXILIAR!$BK$7))*((AUXILIAR!$BL$7+AUXILIAR!$BM$7)))</f>
        <v>8.3853000000000009</v>
      </c>
      <c r="V42" s="101">
        <f>AM42-(AM42/(1+AUXILIAR!$BJ$4))</f>
        <v>0.15738498789346256</v>
      </c>
      <c r="W42" s="102">
        <f>(AM42-V42)*AUXILIAR!$BK$4</f>
        <v>0.58111380145278446</v>
      </c>
      <c r="X42" s="102">
        <f>(AM42-V42-W42)*(AUXILIAR!$BL$4+AUXILIAR!$BM$4)</f>
        <v>0.39418886198547215</v>
      </c>
      <c r="Y42" s="102">
        <f>X42-(X42/(1+AUXILIAR!$BJ$7))</f>
        <v>0</v>
      </c>
      <c r="Z42" s="102">
        <f>(S42-Y42)*AUXILIAR!$BK$7</f>
        <v>1.26</v>
      </c>
      <c r="AA42" s="102">
        <f>(S42-Y42-Z42)*(AUXILIAR!$BL$7+AUXILIAR!$BM$7)</f>
        <v>0.85470000000000002</v>
      </c>
      <c r="AB42" s="103">
        <f t="shared" si="6"/>
        <v>0.15738498789346256</v>
      </c>
      <c r="AC42" s="103">
        <f t="shared" si="7"/>
        <v>-0.67888619854721555</v>
      </c>
      <c r="AD42" s="103">
        <f t="shared" si="8"/>
        <v>-0.46051113801452787</v>
      </c>
      <c r="AE42" s="103">
        <f t="shared" si="9"/>
        <v>-0.9820123486682808</v>
      </c>
      <c r="AF42" s="103">
        <f t="shared" si="10"/>
        <v>126.01940940749999</v>
      </c>
      <c r="AG42" s="102">
        <f t="shared" si="11"/>
        <v>3.0479876513317192</v>
      </c>
      <c r="AH42" s="100">
        <f t="shared" si="12"/>
        <v>36.581486066873929</v>
      </c>
      <c r="AI42" s="104">
        <f t="shared" si="13"/>
        <v>0.29028453822206851</v>
      </c>
      <c r="AJ42" s="100">
        <f t="shared" si="29"/>
        <v>10.98798765133172</v>
      </c>
      <c r="AK42" s="100">
        <f t="shared" si="14"/>
        <v>131.87616327597394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5</v>
      </c>
      <c r="AN42" s="100">
        <f t="shared" si="15"/>
        <v>4.5179876513317199</v>
      </c>
      <c r="AO42" s="100">
        <f t="shared" si="16"/>
        <v>0.21</v>
      </c>
      <c r="AP42" s="100">
        <f t="shared" si="17"/>
        <v>0.26</v>
      </c>
      <c r="AQ42" s="212">
        <f>IFERROR(INDEX(AUXILIAR!$AG$3:$AG$28,MATCH(G42,AUXILIAR!$AH$3:$AH$28,1))*AM42,0)</f>
        <v>0</v>
      </c>
      <c r="AR42" s="105">
        <f>IF(R42="GUILHOTINA",IFERROR(VLOOKUP(G42,AUXILIAR!$Q:$S,3,FALSE),""),IF(R42="LASER",IFERROR(VLOOKUP(G42,AUXILIAR!$E:$I,3,FALSE),""),IF(R42="PLASMA",IFERROR(VLOOKUP(G42,AUXILIAR!$K:$O,3,FALSE),""),"")))</f>
        <v>1615</v>
      </c>
      <c r="AS42" s="89">
        <f t="shared" si="18"/>
        <v>32086</v>
      </c>
      <c r="AT42" s="89">
        <f t="shared" si="19"/>
        <v>160430</v>
      </c>
      <c r="AU42" s="89">
        <f t="shared" si="20"/>
        <v>3850</v>
      </c>
      <c r="AV42" s="89">
        <f t="shared" si="21"/>
        <v>770</v>
      </c>
      <c r="AW42" s="89">
        <f t="shared" si="22"/>
        <v>3850</v>
      </c>
      <c r="AX42" s="89">
        <f>IFERROR(
IF($R42="LASER",
   VLOOKUP($G42,AUXILIAR!$E$3:$G$27,3,FALSE),
IF($R42="PLASMA",
   VLOOKUP($G42,AUXILIAR!$K$6:$M$28,3,FALSE),
0)),
0)</f>
        <v>1615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0.45</v>
      </c>
      <c r="BE42" s="89">
        <f t="shared" si="30"/>
        <v>726.75</v>
      </c>
      <c r="BF42" s="91">
        <f t="shared" si="31"/>
        <v>3.6666666666666667E-2</v>
      </c>
      <c r="BG42" s="91">
        <f t="shared" si="32"/>
        <v>1.3333333333333334E-2</v>
      </c>
      <c r="BH42" s="201">
        <f t="shared" si="33"/>
        <v>5.3475576195390442</v>
      </c>
    </row>
    <row r="43" spans="1:60" x14ac:dyDescent="0.35">
      <c r="A43" s="85">
        <v>3253</v>
      </c>
      <c r="B43" s="85" t="s">
        <v>231</v>
      </c>
      <c r="C43" s="85">
        <v>4</v>
      </c>
      <c r="D43" s="85" t="s">
        <v>44</v>
      </c>
      <c r="E43" s="86">
        <v>4</v>
      </c>
      <c r="F43" s="86">
        <v>17</v>
      </c>
      <c r="G43" s="86">
        <v>7.94</v>
      </c>
      <c r="H43" s="87">
        <v>220</v>
      </c>
      <c r="I43" s="87">
        <v>200</v>
      </c>
      <c r="J43" s="85"/>
      <c r="K43" s="99">
        <v>1200</v>
      </c>
      <c r="L43" s="90">
        <f t="shared" si="0"/>
        <v>2.7424759999999999</v>
      </c>
      <c r="M43" s="198">
        <f t="shared" si="1"/>
        <v>10.969904</v>
      </c>
      <c r="N43" s="91">
        <f t="shared" si="2"/>
        <v>3.1260485610922362</v>
      </c>
      <c r="O43" s="211">
        <f>IF(L43="",0,IFERROR(IF($M$2="ESTUDO",BH43,N43)+INDEX(AUXILIAR!$AO$3:$AO$8,MATCH(L43,{0;2;5;10;20;50},1))*1440,IF(M43="ESTUDO",BH43,N43)))</f>
        <v>13.292810002137408</v>
      </c>
      <c r="P43" s="100">
        <f t="shared" si="3"/>
        <v>28.796250000000001</v>
      </c>
      <c r="Q43" s="100">
        <f t="shared" si="4"/>
        <v>115.185</v>
      </c>
      <c r="R43" s="92" t="s">
        <v>0</v>
      </c>
      <c r="S43" s="88">
        <f t="shared" si="5"/>
        <v>10.5</v>
      </c>
      <c r="T43" s="100">
        <f>((AM43/(1+AUXILIAR!$BJ$4))-((AM43/(1+AUXILIAR!$BJ$4))*AUXILIAR!$BK$4))-(((AM43/(1+AUXILIAR!$BJ$4))-((AM43/(1+AUXILIAR!$BJ$4))*AUXILIAR!$BK$4))*((AUXILIAR!$BL$4+AUXILIAR!$BM$4)))</f>
        <v>3.867312348668281</v>
      </c>
      <c r="U43" s="100">
        <f>((S43/(1+AUXILIAR!$BJ$7))-((S43/(1+AUXILIAR!$BJ$7))*AUXILIAR!$BK$7))-(((S43/(1+AUXILIAR!$BJ$7))-((S43/(1+AUXILIAR!$BJ$7))*AUXILIAR!$BK$7))*((AUXILIAR!$BL$7+AUXILIAR!$BM$7)))</f>
        <v>8.3853000000000009</v>
      </c>
      <c r="V43" s="101">
        <f>AM43-(AM43/(1+AUXILIAR!$BJ$4))</f>
        <v>0.15738498789346256</v>
      </c>
      <c r="W43" s="102">
        <f>(AM43-V43)*AUXILIAR!$BK$4</f>
        <v>0.58111380145278446</v>
      </c>
      <c r="X43" s="102">
        <f>(AM43-V43-W43)*(AUXILIAR!$BL$4+AUXILIAR!$BM$4)</f>
        <v>0.39418886198547215</v>
      </c>
      <c r="Y43" s="102">
        <f>X43-(X43/(1+AUXILIAR!$BJ$7))</f>
        <v>0</v>
      </c>
      <c r="Z43" s="102">
        <f>(S43-Y43)*AUXILIAR!$BK$7</f>
        <v>1.26</v>
      </c>
      <c r="AA43" s="102">
        <f>(S43-Y43-Z43)*(AUXILIAR!$BL$7+AUXILIAR!$BM$7)</f>
        <v>0.85470000000000002</v>
      </c>
      <c r="AB43" s="103">
        <f t="shared" si="6"/>
        <v>0.15738498789346256</v>
      </c>
      <c r="AC43" s="103">
        <f t="shared" si="7"/>
        <v>-0.67888619854721555</v>
      </c>
      <c r="AD43" s="103">
        <f t="shared" si="8"/>
        <v>-0.46051113801452787</v>
      </c>
      <c r="AE43" s="103">
        <f t="shared" si="9"/>
        <v>-0.9820123486682808</v>
      </c>
      <c r="AF43" s="103">
        <f t="shared" si="10"/>
        <v>115.18399199999999</v>
      </c>
      <c r="AG43" s="102">
        <f t="shared" si="11"/>
        <v>0.98926890133171863</v>
      </c>
      <c r="AH43" s="100">
        <f t="shared" si="12"/>
        <v>10.852184877794425</v>
      </c>
      <c r="AI43" s="104">
        <f t="shared" si="13"/>
        <v>9.4216085841116057E-2</v>
      </c>
      <c r="AJ43" s="100">
        <f t="shared" si="29"/>
        <v>13.046706401331722</v>
      </c>
      <c r="AK43" s="100">
        <f t="shared" si="14"/>
        <v>143.12111673879446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5</v>
      </c>
      <c r="AN43" s="100">
        <f t="shared" si="15"/>
        <v>4.5179876513317199</v>
      </c>
      <c r="AO43" s="100">
        <f t="shared" si="16"/>
        <v>0.21</v>
      </c>
      <c r="AP43" s="100">
        <f t="shared" si="17"/>
        <v>0.26</v>
      </c>
      <c r="AQ43" s="212">
        <f>IFERROR(INDEX(AUXILIAR!$AG$3:$AG$28,MATCH(G43,AUXILIAR!$AH$3:$AH$28,1))*AM43,0)</f>
        <v>2.0587187500000006</v>
      </c>
      <c r="AR43" s="105">
        <f>IF(R43="GUILHOTINA",IFERROR(VLOOKUP(G43,AUXILIAR!$Q:$S,3,FALSE),""),IF(R43="LASER",IFERROR(VLOOKUP(G43,AUXILIAR!$E:$I,3,FALSE),""),IF(R43="PLASMA",IFERROR(VLOOKUP(G43,AUXILIAR!$K:$O,3,FALSE),""),"")))</f>
        <v>1870</v>
      </c>
      <c r="AS43" s="89">
        <f t="shared" si="18"/>
        <v>44000</v>
      </c>
      <c r="AT43" s="89">
        <f t="shared" si="19"/>
        <v>176000</v>
      </c>
      <c r="AU43" s="89">
        <f t="shared" si="20"/>
        <v>4385.4158421317088</v>
      </c>
      <c r="AV43" s="89">
        <f t="shared" si="21"/>
        <v>1096.3539605329272</v>
      </c>
      <c r="AW43" s="89">
        <f t="shared" si="22"/>
        <v>4385.4158421317088</v>
      </c>
      <c r="AX43" s="89">
        <f>IFERROR(
IF($R43="LASER",
   VLOOKUP($G43,AUXILIAR!$E$3:$G$27,3,FALSE),
IF($R43="PLASMA",
   VLOOKUP($G43,AUXILIAR!$K$6:$M$28,3,FALSE),
0)),
0)</f>
        <v>1870</v>
      </c>
      <c r="AY43" s="89">
        <f t="shared" si="23"/>
        <v>213.62830044410595</v>
      </c>
      <c r="AZ43" s="89">
        <f t="shared" si="24"/>
        <v>1870</v>
      </c>
      <c r="BA43" s="201">
        <f t="shared" si="25"/>
        <v>0.11423973285781067</v>
      </c>
      <c r="BB43" s="201">
        <f t="shared" si="26"/>
        <v>0.16666666666666666</v>
      </c>
      <c r="BC43" s="201">
        <f t="shared" si="27"/>
        <v>0.78090639952447727</v>
      </c>
      <c r="BD43" s="201">
        <f t="shared" si="34"/>
        <v>0.6</v>
      </c>
      <c r="BE43" s="89">
        <f t="shared" si="30"/>
        <v>1122</v>
      </c>
      <c r="BF43" s="91">
        <f t="shared" si="31"/>
        <v>0.18333333333333335</v>
      </c>
      <c r="BG43" s="91">
        <f t="shared" si="32"/>
        <v>0.02</v>
      </c>
      <c r="BH43" s="201">
        <f t="shared" si="33"/>
        <v>4.8928100021374084</v>
      </c>
    </row>
    <row r="44" spans="1:60" x14ac:dyDescent="0.35">
      <c r="A44" s="85">
        <v>3253</v>
      </c>
      <c r="B44" s="85" t="s">
        <v>232</v>
      </c>
      <c r="C44" s="85">
        <v>3</v>
      </c>
      <c r="D44" s="85" t="s">
        <v>44</v>
      </c>
      <c r="E44" s="86">
        <v>2</v>
      </c>
      <c r="F44" s="86">
        <v>17</v>
      </c>
      <c r="G44" s="86">
        <v>7.94</v>
      </c>
      <c r="H44" s="87">
        <v>220</v>
      </c>
      <c r="I44" s="87">
        <v>151</v>
      </c>
      <c r="J44" s="85"/>
      <c r="K44" s="99">
        <v>1200</v>
      </c>
      <c r="L44" s="90">
        <f t="shared" si="0"/>
        <v>2.0705693799999998</v>
      </c>
      <c r="M44" s="198">
        <f t="shared" si="1"/>
        <v>6.2117081399999989</v>
      </c>
      <c r="N44" s="91">
        <f t="shared" si="2"/>
        <v>1.7864590504571001</v>
      </c>
      <c r="O44" s="211">
        <f>IF(L44="",0,IFERROR(IF($M$2="ESTUDO",BH44,N44)+INDEX(AUXILIAR!$AO$3:$AO$8,MATCH(L44,{0;2;5;10;20;50},1))*1440,IF(M44="ESTUDO",BH44,N44)))</f>
        <v>11.247129617587008</v>
      </c>
      <c r="P44" s="100">
        <f t="shared" si="3"/>
        <v>21.734999999999999</v>
      </c>
      <c r="Q44" s="100">
        <f t="shared" si="4"/>
        <v>65.204999999999998</v>
      </c>
      <c r="R44" s="92" t="s">
        <v>0</v>
      </c>
      <c r="S44" s="88">
        <f t="shared" si="5"/>
        <v>10.5</v>
      </c>
      <c r="T44" s="100">
        <f>((AM44/(1+AUXILIAR!$BJ$4))-((AM44/(1+AUXILIAR!$BJ$4))*AUXILIAR!$BK$4))-(((AM44/(1+AUXILIAR!$BJ$4))-((AM44/(1+AUXILIAR!$BJ$4))*AUXILIAR!$BK$4))*((AUXILIAR!$BL$4+AUXILIAR!$BM$4)))</f>
        <v>3.867312348668281</v>
      </c>
      <c r="U44" s="100">
        <f>((S44/(1+AUXILIAR!$BJ$7))-((S44/(1+AUXILIAR!$BJ$7))*AUXILIAR!$BK$7))-(((S44/(1+AUXILIAR!$BJ$7))-((S44/(1+AUXILIAR!$BJ$7))*AUXILIAR!$BK$7))*((AUXILIAR!$BL$7+AUXILIAR!$BM$7)))</f>
        <v>8.3853000000000009</v>
      </c>
      <c r="V44" s="101">
        <f>AM44-(AM44/(1+AUXILIAR!$BJ$4))</f>
        <v>0.15738498789346256</v>
      </c>
      <c r="W44" s="102">
        <f>(AM44-V44)*AUXILIAR!$BK$4</f>
        <v>0.58111380145278446</v>
      </c>
      <c r="X44" s="102">
        <f>(AM44-V44-W44)*(AUXILIAR!$BL$4+AUXILIAR!$BM$4)</f>
        <v>0.39418886198547215</v>
      </c>
      <c r="Y44" s="102">
        <f>X44-(X44/(1+AUXILIAR!$BJ$7))</f>
        <v>0</v>
      </c>
      <c r="Z44" s="102">
        <f>(S44-Y44)*AUXILIAR!$BK$7</f>
        <v>1.26</v>
      </c>
      <c r="AA44" s="102">
        <f>(S44-Y44-Z44)*(AUXILIAR!$BL$7+AUXILIAR!$BM$7)</f>
        <v>0.85470000000000002</v>
      </c>
      <c r="AB44" s="103">
        <f t="shared" si="6"/>
        <v>0.15738498789346256</v>
      </c>
      <c r="AC44" s="103">
        <f t="shared" si="7"/>
        <v>-0.67888619854721555</v>
      </c>
      <c r="AD44" s="103">
        <f t="shared" si="8"/>
        <v>-0.46051113801452787</v>
      </c>
      <c r="AE44" s="103">
        <f t="shared" si="9"/>
        <v>-0.9820123486682808</v>
      </c>
      <c r="AF44" s="103">
        <f t="shared" si="10"/>
        <v>65.222935469999982</v>
      </c>
      <c r="AG44" s="102">
        <f t="shared" si="11"/>
        <v>0.98926890133171863</v>
      </c>
      <c r="AH44" s="100">
        <f t="shared" si="12"/>
        <v>6.1450496870510927</v>
      </c>
      <c r="AI44" s="104">
        <f t="shared" si="13"/>
        <v>9.4216085841116057E-2</v>
      </c>
      <c r="AJ44" s="100">
        <f t="shared" si="29"/>
        <v>13.046706401331722</v>
      </c>
      <c r="AK44" s="100">
        <f t="shared" si="14"/>
        <v>81.042332353342346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5</v>
      </c>
      <c r="AN44" s="100">
        <f t="shared" si="15"/>
        <v>4.5179876513317199</v>
      </c>
      <c r="AO44" s="100">
        <f t="shared" si="16"/>
        <v>0.21</v>
      </c>
      <c r="AP44" s="100">
        <f t="shared" si="17"/>
        <v>0.26</v>
      </c>
      <c r="AQ44" s="212">
        <f>IFERROR(INDEX(AUXILIAR!$AG$3:$AG$28,MATCH(G44,AUXILIAR!$AH$3:$AH$28,1))*AM44,0)</f>
        <v>2.0587187500000006</v>
      </c>
      <c r="AR44" s="105">
        <f>IF(R44="GUILHOTINA",IFERROR(VLOOKUP(G44,AUXILIAR!$Q:$S,3,FALSE),""),IF(R44="LASER",IFERROR(VLOOKUP(G44,AUXILIAR!$E:$I,3,FALSE),""),IF(R44="PLASMA",IFERROR(VLOOKUP(G44,AUXILIAR!$K:$O,3,FALSE),""),"")))</f>
        <v>1870</v>
      </c>
      <c r="AS44" s="89">
        <f t="shared" si="18"/>
        <v>33220</v>
      </c>
      <c r="AT44" s="89">
        <f t="shared" si="19"/>
        <v>99660</v>
      </c>
      <c r="AU44" s="89">
        <f t="shared" si="20"/>
        <v>2610.5309407993909</v>
      </c>
      <c r="AV44" s="89">
        <f t="shared" si="21"/>
        <v>870.1769802664636</v>
      </c>
      <c r="AW44" s="89">
        <f t="shared" si="22"/>
        <v>2610.5309407993909</v>
      </c>
      <c r="AX44" s="89">
        <f>IFERROR(
IF($R44="LASER",
   VLOOKUP($G44,AUXILIAR!$E$3:$G$27,3,FALSE),
IF($R44="PLASMA",
   VLOOKUP($G44,AUXILIAR!$K$6:$M$28,3,FALSE),
0)),
0)</f>
        <v>1870</v>
      </c>
      <c r="AY44" s="89">
        <f t="shared" si="23"/>
        <v>106.81415022205297</v>
      </c>
      <c r="AZ44" s="89">
        <f t="shared" si="24"/>
        <v>1870</v>
      </c>
      <c r="BA44" s="201">
        <f t="shared" si="25"/>
        <v>5.7119866428905333E-2</v>
      </c>
      <c r="BB44" s="201">
        <f t="shared" si="26"/>
        <v>0.16666666666666666</v>
      </c>
      <c r="BC44" s="201">
        <f t="shared" si="27"/>
        <v>0.39045319976223863</v>
      </c>
      <c r="BD44" s="201">
        <f t="shared" si="34"/>
        <v>0.6</v>
      </c>
      <c r="BE44" s="89">
        <f t="shared" si="30"/>
        <v>1122</v>
      </c>
      <c r="BF44" s="91">
        <f t="shared" si="31"/>
        <v>0.11</v>
      </c>
      <c r="BG44" s="91">
        <f t="shared" si="32"/>
        <v>0.02</v>
      </c>
      <c r="BH44" s="201">
        <f t="shared" si="33"/>
        <v>2.8471296175870076</v>
      </c>
    </row>
    <row r="45" spans="1:60" x14ac:dyDescent="0.35">
      <c r="A45" s="85">
        <v>3253</v>
      </c>
      <c r="B45" s="85" t="s">
        <v>233</v>
      </c>
      <c r="C45" s="85">
        <v>2</v>
      </c>
      <c r="D45" s="85" t="s">
        <v>44</v>
      </c>
      <c r="E45" s="86">
        <v>2</v>
      </c>
      <c r="F45" s="86">
        <v>17</v>
      </c>
      <c r="G45" s="86">
        <v>7.94</v>
      </c>
      <c r="H45" s="87">
        <v>200</v>
      </c>
      <c r="I45" s="87">
        <v>151</v>
      </c>
      <c r="J45" s="85"/>
      <c r="K45" s="99">
        <v>1200</v>
      </c>
      <c r="L45" s="90">
        <f t="shared" si="0"/>
        <v>1.8823357999999999</v>
      </c>
      <c r="M45" s="198">
        <f t="shared" si="1"/>
        <v>3.7646715999999998</v>
      </c>
      <c r="N45" s="91">
        <f t="shared" si="2"/>
        <v>1.2783430182290447</v>
      </c>
      <c r="O45" s="211">
        <f>IF(L45="",0,IFERROR(IF($M$2="ESTUDO",BH45,N45)+INDEX(AUXILIAR!$AO$3:$AO$8,MATCH(L45,{0;2;5;10;20;50},1))*1440,IF(M45="ESTUDO",BH45,N45)))</f>
        <v>7.8336028972069149</v>
      </c>
      <c r="P45" s="100">
        <f t="shared" si="3"/>
        <v>19.739999999999998</v>
      </c>
      <c r="Q45" s="100">
        <f t="shared" si="4"/>
        <v>39.479999999999997</v>
      </c>
      <c r="R45" s="92" t="s">
        <v>0</v>
      </c>
      <c r="S45" s="88">
        <f t="shared" si="5"/>
        <v>10.5</v>
      </c>
      <c r="T45" s="100">
        <f>((AM45/(1+AUXILIAR!$BJ$4))-((AM45/(1+AUXILIAR!$BJ$4))*AUXILIAR!$BK$4))-(((AM45/(1+AUXILIAR!$BJ$4))-((AM45/(1+AUXILIAR!$BJ$4))*AUXILIAR!$BK$4))*((AUXILIAR!$BL$4+AUXILIAR!$BM$4)))</f>
        <v>3.867312348668281</v>
      </c>
      <c r="U45" s="100">
        <f>((S45/(1+AUXILIAR!$BJ$7))-((S45/(1+AUXILIAR!$BJ$7))*AUXILIAR!$BK$7))-(((S45/(1+AUXILIAR!$BJ$7))-((S45/(1+AUXILIAR!$BJ$7))*AUXILIAR!$BK$7))*((AUXILIAR!$BL$7+AUXILIAR!$BM$7)))</f>
        <v>8.3853000000000009</v>
      </c>
      <c r="V45" s="101">
        <f>AM45-(AM45/(1+AUXILIAR!$BJ$4))</f>
        <v>0.15738498789346256</v>
      </c>
      <c r="W45" s="102">
        <f>(AM45-V45)*AUXILIAR!$BK$4</f>
        <v>0.58111380145278446</v>
      </c>
      <c r="X45" s="102">
        <f>(AM45-V45-W45)*(AUXILIAR!$BL$4+AUXILIAR!$BM$4)</f>
        <v>0.39418886198547215</v>
      </c>
      <c r="Y45" s="102">
        <f>X45-(X45/(1+AUXILIAR!$BJ$7))</f>
        <v>0</v>
      </c>
      <c r="Z45" s="102">
        <f>(S45-Y45)*AUXILIAR!$BK$7</f>
        <v>1.26</v>
      </c>
      <c r="AA45" s="102">
        <f>(S45-Y45-Z45)*(AUXILIAR!$BL$7+AUXILIAR!$BM$7)</f>
        <v>0.85470000000000002</v>
      </c>
      <c r="AB45" s="103">
        <f t="shared" si="6"/>
        <v>0.15738498789346256</v>
      </c>
      <c r="AC45" s="103">
        <f t="shared" si="7"/>
        <v>-0.67888619854721555</v>
      </c>
      <c r="AD45" s="103">
        <f t="shared" si="8"/>
        <v>-0.46051113801452787</v>
      </c>
      <c r="AE45" s="103">
        <f t="shared" si="9"/>
        <v>-0.9820123486682808</v>
      </c>
      <c r="AF45" s="103">
        <f t="shared" si="10"/>
        <v>39.529051799999998</v>
      </c>
      <c r="AG45" s="102">
        <f t="shared" si="11"/>
        <v>0.98926890133171863</v>
      </c>
      <c r="AH45" s="100">
        <f t="shared" si="12"/>
        <v>3.7242725376067232</v>
      </c>
      <c r="AI45" s="104">
        <f t="shared" si="13"/>
        <v>9.4216085841116057E-2</v>
      </c>
      <c r="AJ45" s="100">
        <f t="shared" si="29"/>
        <v>13.046706401331722</v>
      </c>
      <c r="AK45" s="100">
        <f t="shared" si="14"/>
        <v>49.116565062631736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5</v>
      </c>
      <c r="AN45" s="100">
        <f t="shared" si="15"/>
        <v>4.5179876513317199</v>
      </c>
      <c r="AO45" s="100">
        <f t="shared" si="16"/>
        <v>0.21</v>
      </c>
      <c r="AP45" s="100">
        <f t="shared" si="17"/>
        <v>0.26</v>
      </c>
      <c r="AQ45" s="212">
        <f>IFERROR(INDEX(AUXILIAR!$AG$3:$AG$28,MATCH(G45,AUXILIAR!$AH$3:$AH$28,1))*AM45,0)</f>
        <v>2.0587187500000006</v>
      </c>
      <c r="AR45" s="105">
        <f>IF(R45="GUILHOTINA",IFERROR(VLOOKUP(G45,AUXILIAR!$Q:$S,3,FALSE),""),IF(R45="LASER",IFERROR(VLOOKUP(G45,AUXILIAR!$E:$I,3,FALSE),""),IF(R45="PLASMA",IFERROR(VLOOKUP(G45,AUXILIAR!$K:$O,3,FALSE),""),"")))</f>
        <v>1870</v>
      </c>
      <c r="AS45" s="89">
        <f t="shared" si="18"/>
        <v>30200</v>
      </c>
      <c r="AT45" s="89">
        <f t="shared" si="19"/>
        <v>60400</v>
      </c>
      <c r="AU45" s="89">
        <f t="shared" si="20"/>
        <v>1660.3539605329272</v>
      </c>
      <c r="AV45" s="89">
        <f t="shared" si="21"/>
        <v>830.1769802664636</v>
      </c>
      <c r="AW45" s="89">
        <f t="shared" si="22"/>
        <v>1660.3539605329272</v>
      </c>
      <c r="AX45" s="89">
        <f>IFERROR(
IF($R45="LASER",
   VLOOKUP($G45,AUXILIAR!$E$3:$G$27,3,FALSE),
IF($R45="PLASMA",
   VLOOKUP($G45,AUXILIAR!$K$6:$M$28,3,FALSE),
0)),
0)</f>
        <v>1870</v>
      </c>
      <c r="AY45" s="89">
        <f t="shared" si="23"/>
        <v>106.81415022205297</v>
      </c>
      <c r="AZ45" s="89">
        <f t="shared" si="24"/>
        <v>1870</v>
      </c>
      <c r="BA45" s="201">
        <f t="shared" si="25"/>
        <v>5.7119866428905333E-2</v>
      </c>
      <c r="BB45" s="201">
        <f t="shared" si="26"/>
        <v>0.16666666666666666</v>
      </c>
      <c r="BC45" s="201">
        <f t="shared" si="27"/>
        <v>0.39045319976223863</v>
      </c>
      <c r="BD45" s="201">
        <f t="shared" si="34"/>
        <v>0.6</v>
      </c>
      <c r="BE45" s="89">
        <f t="shared" si="30"/>
        <v>1122</v>
      </c>
      <c r="BF45" s="91">
        <f t="shared" si="31"/>
        <v>0.11</v>
      </c>
      <c r="BG45" s="91">
        <f t="shared" si="32"/>
        <v>0.02</v>
      </c>
      <c r="BH45" s="201">
        <f t="shared" si="33"/>
        <v>2.0002695638735819</v>
      </c>
    </row>
    <row r="46" spans="1:60" x14ac:dyDescent="0.35">
      <c r="A46" s="85">
        <v>3253</v>
      </c>
      <c r="B46" s="85" t="s">
        <v>234</v>
      </c>
      <c r="C46" s="85">
        <v>2</v>
      </c>
      <c r="D46" s="85" t="s">
        <v>42</v>
      </c>
      <c r="E46" s="86">
        <v>4</v>
      </c>
      <c r="F46" s="86">
        <v>17</v>
      </c>
      <c r="G46" s="86">
        <v>7.94</v>
      </c>
      <c r="H46" s="87">
        <v>200</v>
      </c>
      <c r="I46" s="87">
        <v>200</v>
      </c>
      <c r="J46" s="85"/>
      <c r="K46" s="99">
        <v>1200</v>
      </c>
      <c r="L46" s="90">
        <f t="shared" ref="L46:L77" si="35">IFERROR((AS46*G46*7.85)/1000000,"")</f>
        <v>2.49316</v>
      </c>
      <c r="M46" s="198">
        <f t="shared" ref="M46:M77" si="36">IFERROR(L46*C46,"")</f>
        <v>4.9863200000000001</v>
      </c>
      <c r="N46" s="91">
        <f t="shared" ref="N46:N77" si="37">IFERROR((AU46/AX46)+BC46,0)</f>
        <v>1.9106967316452552</v>
      </c>
      <c r="O46" s="211">
        <f>IF(L46="",0,IFERROR(IF($M$2="ESTUDO",BH46,N46)+INDEX(AUXILIAR!$AO$3:$AO$8,MATCH(L46,{0;2;5;10;20;50},1))*1440,IF(M46="ESTUDO",BH46,N46)))</f>
        <v>11.267223619725774</v>
      </c>
      <c r="P46" s="100">
        <f t="shared" ref="P46:P77" si="38">IFERROR(Q46/C46,0)</f>
        <v>26.197500000000002</v>
      </c>
      <c r="Q46" s="100">
        <f t="shared" ref="Q46:Q77" si="39">IFERROR($D$2 * ROUND(M46, 2), 0)</f>
        <v>52.395000000000003</v>
      </c>
      <c r="R46" s="92" t="s">
        <v>0</v>
      </c>
      <c r="S46" s="88">
        <f t="shared" ref="S46:S77" si="40">IF(A46="",0,$D$2)</f>
        <v>10.5</v>
      </c>
      <c r="T46" s="100">
        <f>((AM46/(1+AUXILIAR!$BJ$4))-((AM46/(1+AUXILIAR!$BJ$4))*AUXILIAR!$BK$4))-(((AM46/(1+AUXILIAR!$BJ$4))-((AM46/(1+AUXILIAR!$BJ$4))*AUXILIAR!$BK$4))*((AUXILIAR!$BL$4+AUXILIAR!$BM$4)))</f>
        <v>3.867312348668281</v>
      </c>
      <c r="U46" s="100">
        <f>((S46/(1+AUXILIAR!$BJ$7))-((S46/(1+AUXILIAR!$BJ$7))*AUXILIAR!$BK$7))-(((S46/(1+AUXILIAR!$BJ$7))-((S46/(1+AUXILIAR!$BJ$7))*AUXILIAR!$BK$7))*((AUXILIAR!$BL$7+AUXILIAR!$BM$7)))</f>
        <v>8.3853000000000009</v>
      </c>
      <c r="V46" s="101">
        <f>AM46-(AM46/(1+AUXILIAR!$BJ$4))</f>
        <v>0.15738498789346256</v>
      </c>
      <c r="W46" s="102">
        <f>(AM46-V46)*AUXILIAR!$BK$4</f>
        <v>0.58111380145278446</v>
      </c>
      <c r="X46" s="102">
        <f>(AM46-V46-W46)*(AUXILIAR!$BL$4+AUXILIAR!$BM$4)</f>
        <v>0.39418886198547215</v>
      </c>
      <c r="Y46" s="102">
        <f>X46-(X46/(1+AUXILIAR!$BJ$7))</f>
        <v>0</v>
      </c>
      <c r="Z46" s="102">
        <f>(S46-Y46)*AUXILIAR!$BK$7</f>
        <v>1.26</v>
      </c>
      <c r="AA46" s="102">
        <f>(S46-Y46-Z46)*(AUXILIAR!$BL$7+AUXILIAR!$BM$7)</f>
        <v>0.85470000000000002</v>
      </c>
      <c r="AB46" s="103">
        <f t="shared" ref="AB46:AB77" si="41">V46-Y46</f>
        <v>0.15738498789346256</v>
      </c>
      <c r="AC46" s="103">
        <f t="shared" ref="AC46:AC77" si="42">W46-Z46</f>
        <v>-0.67888619854721555</v>
      </c>
      <c r="AD46" s="103">
        <f t="shared" ref="AD46:AD77" si="43">X46-AA46</f>
        <v>-0.46051113801452787</v>
      </c>
      <c r="AE46" s="103">
        <f t="shared" ref="AE46:AE77" si="44">AB46+AC46+AD46</f>
        <v>-0.9820123486682808</v>
      </c>
      <c r="AF46" s="103">
        <f t="shared" ref="AF46:AF77" si="45">IFERROR(S46*M46,0)</f>
        <v>52.356360000000002</v>
      </c>
      <c r="AG46" s="102">
        <f t="shared" ref="AG46:AG77" si="46">IFERROR((S46-AM46+AE46-AO46-AP46-AQ46-AL46),0)</f>
        <v>0.98926890133171863</v>
      </c>
      <c r="AH46" s="100">
        <f t="shared" ref="AH46:AH77" si="47">IFERROR(AG46*M46,0)</f>
        <v>4.9328113080883753</v>
      </c>
      <c r="AI46" s="104">
        <f t="shared" ref="AI46:AI77" si="48">IFERROR(AG46/S46,0)</f>
        <v>9.4216085841116057E-2</v>
      </c>
      <c r="AJ46" s="100">
        <f t="shared" ref="AJ46:AJ77" si="49">IF(G46="",0,(AM46+AL46+AQ46+AP46+AO46+AN46))</f>
        <v>13.046706401331722</v>
      </c>
      <c r="AK46" s="100">
        <f t="shared" ref="AK46:AK77" si="50">IFERROR(AJ46*M46,0)</f>
        <v>65.055053063088394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5</v>
      </c>
      <c r="AN46" s="100">
        <f t="shared" ref="AN46:AN77" si="51">U46-T46</f>
        <v>4.5179876513317199</v>
      </c>
      <c r="AO46" s="100">
        <f t="shared" ref="AO46:AO77" si="52">IFERROR(S46*$B$2,0)</f>
        <v>0.21</v>
      </c>
      <c r="AP46" s="100">
        <f t="shared" ref="AP46:AP77" si="53">IF(G46="",0,$C$2)</f>
        <v>0.26</v>
      </c>
      <c r="AQ46" s="212">
        <f>IFERROR(INDEX(AUXILIAR!$AG$3:$AG$28,MATCH(G46,AUXILIAR!$AH$3:$AH$28,1))*AM46,0)</f>
        <v>2.0587187500000006</v>
      </c>
      <c r="AR46" s="105">
        <f>IF(R46="GUILHOTINA",IFERROR(VLOOKUP(G46,AUXILIAR!$Q:$S,3,FALSE),""),IF(R46="LASER",IFERROR(VLOOKUP(G46,AUXILIAR!$E:$I,3,FALSE),""),IF(R46="PLASMA",IFERROR(VLOOKUP(G46,AUXILIAR!$K:$O,3,FALSE),""),"")))</f>
        <v>1870</v>
      </c>
      <c r="AS46" s="89">
        <f t="shared" ref="AS46:AS77" si="54">IF(OR(D46="Q",D46="R"),(H46*I46),IF(D46="T",(H46*I46)/2,IF(D46="TP",((H46+I46)*J46)/2,IF(D46="C",PI()*((H46/2)^2),""))))</f>
        <v>40000</v>
      </c>
      <c r="AT46" s="89">
        <f t="shared" ref="AT46:AT77" si="55">IFERROR(AS46*C46,"")</f>
        <v>80000</v>
      </c>
      <c r="AU46" s="89">
        <f t="shared" ref="AU46:AU77" si="56">IFERROR(AV46*C46,"")</f>
        <v>2112.7079210658544</v>
      </c>
      <c r="AV46" s="89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>1056.3539605329272</v>
      </c>
      <c r="AW46" s="89">
        <f t="shared" ref="AW46:AW77" si="58">IFERROR(AV46*C46,"")</f>
        <v>2112.7079210658544</v>
      </c>
      <c r="AX46" s="89">
        <f>IFERROR(
IF($R46="LASER",
   VLOOKUP($G46,AUXILIAR!$E$3:$G$27,3,FALSE),
IF($R46="PLASMA",
   VLOOKUP($G46,AUXILIAR!$K$6:$M$28,3,FALSE),
0)),
0)</f>
        <v>1870</v>
      </c>
      <c r="AY46" s="89">
        <f t="shared" ref="AY46:AY77" si="59">IF(OR(E46=0,F46=0),0,PI()*F46*E46)</f>
        <v>213.62830044410595</v>
      </c>
      <c r="AZ46" s="89">
        <f t="shared" ref="AZ46:AZ77" si="60">IFERROR(
IF(OR(E46=0,F46=0),0,
   IF($R46="LASER",
      IF($F46&lt;=$G46*1.5,$AX46*0.7,$AX46),
   IF($R46="PLASMA",
      IF($F46&lt;=$G46*2,$AX46*0.5,$AX46),
   0))),
0)</f>
        <v>1870</v>
      </c>
      <c r="BA46" s="201">
        <f t="shared" ref="BA46:BA77" si="61">IFERROR(IF($AY46=0,0,$AY46/$AZ46),0)</f>
        <v>0.11423973285781067</v>
      </c>
      <c r="BB46" s="201">
        <f t="shared" ref="BB46:BB77" si="62">IF(OR(E46=0,F46=0),0,
 IF(F46&lt;=4.75,5/60,
 IF(F46&lt;=9.5,7/60,
 10/60)))</f>
        <v>0.16666666666666666</v>
      </c>
      <c r="BC46" s="201">
        <f t="shared" ref="BC46:BC77" si="63">IF(OR(E46=0,F46=0),0,$BA46+($BB46*$E46))</f>
        <v>0.78090639952447727</v>
      </c>
      <c r="BD46" s="201">
        <f t="shared" si="34"/>
        <v>0.6</v>
      </c>
      <c r="BE46" s="89">
        <f t="shared" si="30"/>
        <v>1122</v>
      </c>
      <c r="BF46" s="91">
        <f t="shared" si="31"/>
        <v>0.18333333333333335</v>
      </c>
      <c r="BG46" s="91">
        <f t="shared" si="32"/>
        <v>0.02</v>
      </c>
      <c r="BH46" s="201">
        <f t="shared" si="33"/>
        <v>2.8672236197257734</v>
      </c>
    </row>
    <row r="47" spans="1:60" x14ac:dyDescent="0.35">
      <c r="A47" s="85">
        <v>3253</v>
      </c>
      <c r="B47" s="85" t="s">
        <v>235</v>
      </c>
      <c r="C47" s="85">
        <v>1</v>
      </c>
      <c r="D47" s="85" t="s">
        <v>44</v>
      </c>
      <c r="E47" s="86">
        <v>2</v>
      </c>
      <c r="F47" s="86">
        <v>17</v>
      </c>
      <c r="G47" s="86">
        <v>12.7</v>
      </c>
      <c r="H47" s="87">
        <v>220</v>
      </c>
      <c r="I47" s="87">
        <v>151</v>
      </c>
      <c r="J47" s="85"/>
      <c r="K47" s="99">
        <v>1200</v>
      </c>
      <c r="L47" s="90">
        <f t="shared" si="35"/>
        <v>3.3118678999999998</v>
      </c>
      <c r="M47" s="198">
        <f t="shared" si="36"/>
        <v>3.3118678999999998</v>
      </c>
      <c r="N47" s="91">
        <f t="shared" si="37"/>
        <v>1.1355048026986863</v>
      </c>
      <c r="O47" s="211">
        <f>IF(L47="",0,IFERROR(IF($M$2="ESTUDO",BH47,N47)+INDEX(AUXILIAR!$AO$3:$AO$8,MATCH(L47,{0;2;5;10;20;50},1))*1440,IF(M47="ESTUDO",BH47,N47)))</f>
        <v>10.160499302184419</v>
      </c>
      <c r="P47" s="100">
        <f t="shared" si="38"/>
        <v>34.755000000000003</v>
      </c>
      <c r="Q47" s="100">
        <f t="shared" si="39"/>
        <v>34.755000000000003</v>
      </c>
      <c r="R47" s="92" t="s">
        <v>0</v>
      </c>
      <c r="S47" s="88">
        <f t="shared" si="40"/>
        <v>10.5</v>
      </c>
      <c r="T47" s="100">
        <f>((AM47/(1+AUXILIAR!$BJ$4))-((AM47/(1+AUXILIAR!$BJ$4))*AUXILIAR!$BK$4))-(((AM47/(1+AUXILIAR!$BJ$4))-((AM47/(1+AUXILIAR!$BJ$4))*AUXILIAR!$BK$4))*((AUXILIAR!$BL$4+AUXILIAR!$BM$4)))</f>
        <v>3.867312348668281</v>
      </c>
      <c r="U47" s="100">
        <f>((S47/(1+AUXILIAR!$BJ$7))-((S47/(1+AUXILIAR!$BJ$7))*AUXILIAR!$BK$7))-(((S47/(1+AUXILIAR!$BJ$7))-((S47/(1+AUXILIAR!$BJ$7))*AUXILIAR!$BK$7))*((AUXILIAR!$BL$7+AUXILIAR!$BM$7)))</f>
        <v>8.3853000000000009</v>
      </c>
      <c r="V47" s="101">
        <f>AM47-(AM47/(1+AUXILIAR!$BJ$4))</f>
        <v>0.15738498789346256</v>
      </c>
      <c r="W47" s="102">
        <f>(AM47-V47)*AUXILIAR!$BK$4</f>
        <v>0.58111380145278446</v>
      </c>
      <c r="X47" s="102">
        <f>(AM47-V47-W47)*(AUXILIAR!$BL$4+AUXILIAR!$BM$4)</f>
        <v>0.39418886198547215</v>
      </c>
      <c r="Y47" s="102">
        <f>X47-(X47/(1+AUXILIAR!$BJ$7))</f>
        <v>0</v>
      </c>
      <c r="Z47" s="102">
        <f>(S47-Y47)*AUXILIAR!$BK$7</f>
        <v>1.26</v>
      </c>
      <c r="AA47" s="102">
        <f>(S47-Y47-Z47)*(AUXILIAR!$BL$7+AUXILIAR!$BM$7)</f>
        <v>0.85470000000000002</v>
      </c>
      <c r="AB47" s="103">
        <f t="shared" si="41"/>
        <v>0.15738498789346256</v>
      </c>
      <c r="AC47" s="103">
        <f t="shared" si="42"/>
        <v>-0.67888619854721555</v>
      </c>
      <c r="AD47" s="103">
        <f t="shared" si="43"/>
        <v>-0.46051113801452787</v>
      </c>
      <c r="AE47" s="103">
        <f t="shared" si="44"/>
        <v>-0.9820123486682808</v>
      </c>
      <c r="AF47" s="103">
        <f t="shared" si="45"/>
        <v>34.774612949999998</v>
      </c>
      <c r="AG47" s="102">
        <f t="shared" si="46"/>
        <v>-1.2029567931127243</v>
      </c>
      <c r="AH47" s="100">
        <f t="shared" si="47"/>
        <v>-3.9840339881969724</v>
      </c>
      <c r="AI47" s="104">
        <f t="shared" si="48"/>
        <v>-0.11456731362978327</v>
      </c>
      <c r="AJ47" s="100">
        <f t="shared" si="49"/>
        <v>15.238932095776164</v>
      </c>
      <c r="AK47" s="100">
        <f t="shared" si="50"/>
        <v>50.469330038280802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5</v>
      </c>
      <c r="AN47" s="100">
        <f t="shared" si="51"/>
        <v>4.5179876513317199</v>
      </c>
      <c r="AO47" s="100">
        <f t="shared" si="52"/>
        <v>0.21</v>
      </c>
      <c r="AP47" s="100">
        <f t="shared" si="53"/>
        <v>0.26</v>
      </c>
      <c r="AQ47" s="212">
        <f>IFERROR(INDEX(AUXILIAR!$AG$3:$AG$28,MATCH(G47,AUXILIAR!$AH$3:$AH$28,1))*AM47,0)</f>
        <v>4.2509444444444435</v>
      </c>
      <c r="AR47" s="105">
        <f>IF(R47="GUILHOTINA",IFERROR(VLOOKUP(G47,AUXILIAR!$Q:$S,3,FALSE),""),IF(R47="LASER",IFERROR(VLOOKUP(G47,AUXILIAR!$E:$I,3,FALSE),""),IF(R47="PLASMA",IFERROR(VLOOKUP(G47,AUXILIAR!$K:$O,3,FALSE),""),"")))</f>
        <v>1275</v>
      </c>
      <c r="AS47" s="89">
        <f t="shared" si="54"/>
        <v>33220</v>
      </c>
      <c r="AT47" s="89">
        <f t="shared" si="55"/>
        <v>33220</v>
      </c>
      <c r="AU47" s="89">
        <f t="shared" si="56"/>
        <v>870.1769802664636</v>
      </c>
      <c r="AV47" s="89">
        <f t="shared" si="57"/>
        <v>870.1769802664636</v>
      </c>
      <c r="AW47" s="89">
        <f t="shared" si="58"/>
        <v>870.1769802664636</v>
      </c>
      <c r="AX47" s="89">
        <f>IFERROR(
IF($R47="LASER",
   VLOOKUP($G47,AUXILIAR!$E$3:$G$27,3,FALSE),
IF($R47="PLASMA",
   VLOOKUP($G47,AUXILIAR!$K$6:$M$28,3,FALSE),
0)),
0)</f>
        <v>1275</v>
      </c>
      <c r="AY47" s="89">
        <f t="shared" si="59"/>
        <v>106.81415022205297</v>
      </c>
      <c r="AZ47" s="89">
        <f t="shared" si="60"/>
        <v>892.5</v>
      </c>
      <c r="BA47" s="201">
        <f t="shared" si="61"/>
        <v>0.11967972013675403</v>
      </c>
      <c r="BB47" s="201">
        <f t="shared" si="62"/>
        <v>0.16666666666666666</v>
      </c>
      <c r="BC47" s="201">
        <f t="shared" si="63"/>
        <v>0.45301305347008736</v>
      </c>
      <c r="BD47" s="201">
        <f t="shared" si="34"/>
        <v>0.6</v>
      </c>
      <c r="BE47" s="89">
        <f t="shared" si="30"/>
        <v>765</v>
      </c>
      <c r="BF47" s="91">
        <f t="shared" si="31"/>
        <v>0.15000000000000002</v>
      </c>
      <c r="BG47" s="91">
        <f t="shared" si="32"/>
        <v>0.02</v>
      </c>
      <c r="BH47" s="201">
        <f t="shared" si="33"/>
        <v>1.7604993021844191</v>
      </c>
    </row>
    <row r="48" spans="1:60" x14ac:dyDescent="0.35">
      <c r="A48" s="85">
        <v>3253</v>
      </c>
      <c r="B48" s="85" t="s">
        <v>236</v>
      </c>
      <c r="C48" s="85">
        <v>1</v>
      </c>
      <c r="D48" s="85" t="s">
        <v>44</v>
      </c>
      <c r="E48" s="86">
        <v>0</v>
      </c>
      <c r="F48" s="86"/>
      <c r="G48" s="86">
        <v>6.35</v>
      </c>
      <c r="H48" s="87">
        <v>137</v>
      </c>
      <c r="I48" s="87">
        <v>48</v>
      </c>
      <c r="J48" s="85"/>
      <c r="K48" s="99">
        <v>1200</v>
      </c>
      <c r="L48" s="90">
        <f t="shared" si="35"/>
        <v>0.32779715999999998</v>
      </c>
      <c r="M48" s="198">
        <f t="shared" si="36"/>
        <v>0.32779715999999998</v>
      </c>
      <c r="N48" s="91">
        <f t="shared" si="37"/>
        <v>0.18137254901960784</v>
      </c>
      <c r="O48" s="211">
        <f>IF(L48="",0,IFERROR(IF($M$2="ESTUDO",BH48,N48)+INDEX(AUXILIAR!$AO$3:$AO$8,MATCH(L48,{0;2;5;10;20;50},1))*1440,IF(M48="ESTUDO",BH48,N48)))</f>
        <v>6.3898739495798313</v>
      </c>
      <c r="P48" s="100">
        <f t="shared" si="38"/>
        <v>3.4650000000000003</v>
      </c>
      <c r="Q48" s="100">
        <f t="shared" si="39"/>
        <v>3.4650000000000003</v>
      </c>
      <c r="R48" s="92" t="s">
        <v>0</v>
      </c>
      <c r="S48" s="88">
        <f t="shared" si="40"/>
        <v>10.5</v>
      </c>
      <c r="T48" s="100">
        <f>((AM48/(1+AUXILIAR!$BJ$4))-((AM48/(1+AUXILIAR!$BJ$4))*AUXILIAR!$BK$4))-(((AM48/(1+AUXILIAR!$BJ$4))-((AM48/(1+AUXILIAR!$BJ$4))*AUXILIAR!$BK$4))*((AUXILIAR!$BL$4+AUXILIAR!$BM$4)))</f>
        <v>3.867312348668281</v>
      </c>
      <c r="U48" s="100">
        <f>((S48/(1+AUXILIAR!$BJ$7))-((S48/(1+AUXILIAR!$BJ$7))*AUXILIAR!$BK$7))-(((S48/(1+AUXILIAR!$BJ$7))-((S48/(1+AUXILIAR!$BJ$7))*AUXILIAR!$BK$7))*((AUXILIAR!$BL$7+AUXILIAR!$BM$7)))</f>
        <v>8.3853000000000009</v>
      </c>
      <c r="V48" s="101">
        <f>AM48-(AM48/(1+AUXILIAR!$BJ$4))</f>
        <v>0.15738498789346256</v>
      </c>
      <c r="W48" s="102">
        <f>(AM48-V48)*AUXILIAR!$BK$4</f>
        <v>0.58111380145278446</v>
      </c>
      <c r="X48" s="102">
        <f>(AM48-V48-W48)*(AUXILIAR!$BL$4+AUXILIAR!$BM$4)</f>
        <v>0.39418886198547215</v>
      </c>
      <c r="Y48" s="102">
        <f>X48-(X48/(1+AUXILIAR!$BJ$7))</f>
        <v>0</v>
      </c>
      <c r="Z48" s="102">
        <f>(S48-Y48)*AUXILIAR!$BK$7</f>
        <v>1.26</v>
      </c>
      <c r="AA48" s="102">
        <f>(S48-Y48-Z48)*(AUXILIAR!$BL$7+AUXILIAR!$BM$7)</f>
        <v>0.85470000000000002</v>
      </c>
      <c r="AB48" s="103">
        <f t="shared" si="41"/>
        <v>0.15738498789346256</v>
      </c>
      <c r="AC48" s="103">
        <f t="shared" si="42"/>
        <v>-0.67888619854721555</v>
      </c>
      <c r="AD48" s="103">
        <f t="shared" si="43"/>
        <v>-0.46051113801452787</v>
      </c>
      <c r="AE48" s="103">
        <f t="shared" si="44"/>
        <v>-0.9820123486682808</v>
      </c>
      <c r="AF48" s="103">
        <f t="shared" si="45"/>
        <v>3.4418701799999996</v>
      </c>
      <c r="AG48" s="102">
        <f t="shared" si="46"/>
        <v>2.5479876513317192</v>
      </c>
      <c r="AH48" s="100">
        <f t="shared" si="47"/>
        <v>0.83522311582160769</v>
      </c>
      <c r="AI48" s="104">
        <f t="shared" si="48"/>
        <v>0.24266549060302087</v>
      </c>
      <c r="AJ48" s="100">
        <f t="shared" si="49"/>
        <v>11.48798765133172</v>
      </c>
      <c r="AK48" s="100">
        <f t="shared" si="50"/>
        <v>3.7657297262216076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5</v>
      </c>
      <c r="AN48" s="100">
        <f t="shared" si="51"/>
        <v>4.5179876513317199</v>
      </c>
      <c r="AO48" s="100">
        <f t="shared" si="52"/>
        <v>0.21</v>
      </c>
      <c r="AP48" s="100">
        <f t="shared" si="53"/>
        <v>0.26</v>
      </c>
      <c r="AQ48" s="212">
        <f>IFERROR(INDEX(AUXILIAR!$AG$3:$AG$28,MATCH(G48,AUXILIAR!$AH$3:$AH$28,1))*AM48,0)</f>
        <v>0.5</v>
      </c>
      <c r="AR48" s="105">
        <f>IF(R48="GUILHOTINA",IFERROR(VLOOKUP(G48,AUXILIAR!$Q:$S,3,FALSE),""),IF(R48="LASER",IFERROR(VLOOKUP(G48,AUXILIAR!$E:$I,3,FALSE),""),IF(R48="PLASMA",IFERROR(VLOOKUP(G48,AUXILIAR!$K:$O,3,FALSE),""),"")))</f>
        <v>2040</v>
      </c>
      <c r="AS48" s="89">
        <f t="shared" si="54"/>
        <v>6576</v>
      </c>
      <c r="AT48" s="89">
        <f t="shared" si="55"/>
        <v>6576</v>
      </c>
      <c r="AU48" s="89">
        <f t="shared" si="56"/>
        <v>370</v>
      </c>
      <c r="AV48" s="89">
        <f t="shared" si="57"/>
        <v>370</v>
      </c>
      <c r="AW48" s="89">
        <f t="shared" si="58"/>
        <v>370</v>
      </c>
      <c r="AX48" s="89">
        <f>IFERROR(
IF($R48="LASER",
   VLOOKUP($G48,AUXILIAR!$E$3:$G$27,3,FALSE),
IF($R48="PLASMA",
   VLOOKUP($G48,AUXILIAR!$K$6:$M$28,3,FALSE),
0)),
0)</f>
        <v>2040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0.35</v>
      </c>
      <c r="BE48" s="89">
        <f t="shared" si="30"/>
        <v>714</v>
      </c>
      <c r="BF48" s="91">
        <f t="shared" si="31"/>
        <v>2.5000000000000001E-2</v>
      </c>
      <c r="BG48" s="91">
        <f t="shared" si="32"/>
        <v>1.3333333333333334E-2</v>
      </c>
      <c r="BH48" s="201">
        <f t="shared" si="33"/>
        <v>0.55654061624649864</v>
      </c>
    </row>
    <row r="49" spans="1:60" x14ac:dyDescent="0.35">
      <c r="A49" s="85">
        <v>3253</v>
      </c>
      <c r="B49" s="85" t="s">
        <v>237</v>
      </c>
      <c r="C49" s="85">
        <v>2</v>
      </c>
      <c r="D49" s="85" t="s">
        <v>44</v>
      </c>
      <c r="E49" s="86">
        <v>3</v>
      </c>
      <c r="F49" s="86">
        <v>15</v>
      </c>
      <c r="G49" s="86">
        <v>7.94</v>
      </c>
      <c r="H49" s="87">
        <v>200</v>
      </c>
      <c r="I49" s="87">
        <v>50</v>
      </c>
      <c r="J49" s="85"/>
      <c r="K49" s="99">
        <v>1200</v>
      </c>
      <c r="L49" s="90">
        <f t="shared" si="35"/>
        <v>0.62329000000000001</v>
      </c>
      <c r="M49" s="198">
        <f t="shared" si="36"/>
        <v>1.24658</v>
      </c>
      <c r="N49" s="91">
        <f t="shared" si="37"/>
        <v>1.2917987572188441</v>
      </c>
      <c r="O49" s="211">
        <f>IF(L49="",0,IFERROR(IF($M$2="ESTUDO",BH49,N49)+INDEX(AUXILIAR!$AO$3:$AO$8,MATCH(L49,{0;2;5;10;20;50},1))*1440,IF(M49="ESTUDO",BH49,N49)))</f>
        <v>8.1604863432238748</v>
      </c>
      <c r="P49" s="100">
        <f t="shared" si="38"/>
        <v>6.5625</v>
      </c>
      <c r="Q49" s="100">
        <f t="shared" si="39"/>
        <v>13.125</v>
      </c>
      <c r="R49" s="92" t="s">
        <v>0</v>
      </c>
      <c r="S49" s="88">
        <f t="shared" si="40"/>
        <v>10.5</v>
      </c>
      <c r="T49" s="100">
        <f>((AM49/(1+AUXILIAR!$BJ$4))-((AM49/(1+AUXILIAR!$BJ$4))*AUXILIAR!$BK$4))-(((AM49/(1+AUXILIAR!$BJ$4))-((AM49/(1+AUXILIAR!$BJ$4))*AUXILIAR!$BK$4))*((AUXILIAR!$BL$4+AUXILIAR!$BM$4)))</f>
        <v>3.867312348668281</v>
      </c>
      <c r="U49" s="100">
        <f>((S49/(1+AUXILIAR!$BJ$7))-((S49/(1+AUXILIAR!$BJ$7))*AUXILIAR!$BK$7))-(((S49/(1+AUXILIAR!$BJ$7))-((S49/(1+AUXILIAR!$BJ$7))*AUXILIAR!$BK$7))*((AUXILIAR!$BL$7+AUXILIAR!$BM$7)))</f>
        <v>8.3853000000000009</v>
      </c>
      <c r="V49" s="101">
        <f>AM49-(AM49/(1+AUXILIAR!$BJ$4))</f>
        <v>0.15738498789346256</v>
      </c>
      <c r="W49" s="102">
        <f>(AM49-V49)*AUXILIAR!$BK$4</f>
        <v>0.58111380145278446</v>
      </c>
      <c r="X49" s="102">
        <f>(AM49-V49-W49)*(AUXILIAR!$BL$4+AUXILIAR!$BM$4)</f>
        <v>0.39418886198547215</v>
      </c>
      <c r="Y49" s="102">
        <f>X49-(X49/(1+AUXILIAR!$BJ$7))</f>
        <v>0</v>
      </c>
      <c r="Z49" s="102">
        <f>(S49-Y49)*AUXILIAR!$BK$7</f>
        <v>1.26</v>
      </c>
      <c r="AA49" s="102">
        <f>(S49-Y49-Z49)*(AUXILIAR!$BL$7+AUXILIAR!$BM$7)</f>
        <v>0.85470000000000002</v>
      </c>
      <c r="AB49" s="103">
        <f t="shared" si="41"/>
        <v>0.15738498789346256</v>
      </c>
      <c r="AC49" s="103">
        <f t="shared" si="42"/>
        <v>-0.67888619854721555</v>
      </c>
      <c r="AD49" s="103">
        <f t="shared" si="43"/>
        <v>-0.46051113801452787</v>
      </c>
      <c r="AE49" s="103">
        <f t="shared" si="44"/>
        <v>-0.9820123486682808</v>
      </c>
      <c r="AF49" s="103">
        <f t="shared" si="45"/>
        <v>13.089090000000001</v>
      </c>
      <c r="AG49" s="102">
        <f t="shared" si="46"/>
        <v>0.98926890133171863</v>
      </c>
      <c r="AH49" s="100">
        <f t="shared" si="47"/>
        <v>1.2332028270220938</v>
      </c>
      <c r="AI49" s="104">
        <f t="shared" si="48"/>
        <v>9.4216085841116057E-2</v>
      </c>
      <c r="AJ49" s="100">
        <f t="shared" si="49"/>
        <v>13.046706401331722</v>
      </c>
      <c r="AK49" s="100">
        <f t="shared" si="50"/>
        <v>16.263763265772099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5</v>
      </c>
      <c r="AN49" s="100">
        <f t="shared" si="51"/>
        <v>4.5179876513317199</v>
      </c>
      <c r="AO49" s="100">
        <f t="shared" si="52"/>
        <v>0.21</v>
      </c>
      <c r="AP49" s="100">
        <f t="shared" si="53"/>
        <v>0.26</v>
      </c>
      <c r="AQ49" s="212">
        <f>IFERROR(INDEX(AUXILIAR!$AG$3:$AG$28,MATCH(G49,AUXILIAR!$AH$3:$AH$28,1))*AM49,0)</f>
        <v>2.0587187500000006</v>
      </c>
      <c r="AR49" s="105">
        <f>IF(R49="GUILHOTINA",IFERROR(VLOOKUP(G49,AUXILIAR!$Q:$S,3,FALSE),""),IF(R49="LASER",IFERROR(VLOOKUP(G49,AUXILIAR!$E:$I,3,FALSE),""),IF(R49="PLASMA",IFERROR(VLOOKUP(G49,AUXILIAR!$K:$O,3,FALSE),""),"")))</f>
        <v>1870</v>
      </c>
      <c r="AS49" s="89">
        <f t="shared" si="54"/>
        <v>10000</v>
      </c>
      <c r="AT49" s="89">
        <f t="shared" si="55"/>
        <v>20000</v>
      </c>
      <c r="AU49" s="89">
        <f t="shared" si="56"/>
        <v>1339.2920065876976</v>
      </c>
      <c r="AV49" s="89">
        <f t="shared" si="57"/>
        <v>669.64600329384882</v>
      </c>
      <c r="AW49" s="89">
        <f t="shared" si="58"/>
        <v>1339.2920065876976</v>
      </c>
      <c r="AX49" s="89">
        <f>IFERROR(
IF($R49="LASER",
   VLOOKUP($G49,AUXILIAR!$E$3:$G$27,3,FALSE),
IF($R49="PLASMA",
   VLOOKUP($G49,AUXILIAR!$K$6:$M$28,3,FALSE),
0)),
0)</f>
        <v>1870</v>
      </c>
      <c r="AY49" s="89">
        <f t="shared" si="59"/>
        <v>141.37166941154067</v>
      </c>
      <c r="AZ49" s="89">
        <f t="shared" si="60"/>
        <v>1870</v>
      </c>
      <c r="BA49" s="201">
        <f t="shared" si="61"/>
        <v>7.5599823214727635E-2</v>
      </c>
      <c r="BB49" s="201">
        <f t="shared" si="62"/>
        <v>0.16666666666666666</v>
      </c>
      <c r="BC49" s="201">
        <f t="shared" si="63"/>
        <v>0.57559982321472769</v>
      </c>
      <c r="BD49" s="201">
        <f t="shared" si="34"/>
        <v>0.45</v>
      </c>
      <c r="BE49" s="89">
        <f t="shared" si="30"/>
        <v>841.5</v>
      </c>
      <c r="BF49" s="91">
        <f t="shared" si="31"/>
        <v>0.14666666666666667</v>
      </c>
      <c r="BG49" s="91">
        <f t="shared" si="32"/>
        <v>1.3333333333333334E-2</v>
      </c>
      <c r="BH49" s="201">
        <f t="shared" si="33"/>
        <v>2.3271530098905417</v>
      </c>
    </row>
    <row r="50" spans="1:60" x14ac:dyDescent="0.35">
      <c r="A50" s="85">
        <v>3253</v>
      </c>
      <c r="B50" s="85" t="s">
        <v>238</v>
      </c>
      <c r="C50" s="85">
        <v>2</v>
      </c>
      <c r="D50" s="85" t="s">
        <v>44</v>
      </c>
      <c r="E50" s="86">
        <v>2</v>
      </c>
      <c r="F50" s="86">
        <v>15</v>
      </c>
      <c r="G50" s="86">
        <v>7.94</v>
      </c>
      <c r="H50" s="87">
        <v>200</v>
      </c>
      <c r="I50" s="87">
        <v>60</v>
      </c>
      <c r="J50" s="85"/>
      <c r="K50" s="99">
        <v>1200</v>
      </c>
      <c r="L50" s="90">
        <f t="shared" si="35"/>
        <v>0.74794799999999995</v>
      </c>
      <c r="M50" s="198">
        <f t="shared" si="36"/>
        <v>1.4958959999999999</v>
      </c>
      <c r="N50" s="91">
        <f t="shared" si="37"/>
        <v>1.06084266524037</v>
      </c>
      <c r="O50" s="211">
        <f>IF(L50="",0,IFERROR(IF($M$2="ESTUDO",BH50,N50)+INDEX(AUXILIAR!$AO$3:$AO$8,MATCH(L50,{0;2;5;10;20;50},1))*1440,IF(M50="ESTUDO",BH50,N50)))</f>
        <v>7.8450875482851181</v>
      </c>
      <c r="P50" s="100">
        <f t="shared" si="38"/>
        <v>7.875</v>
      </c>
      <c r="Q50" s="100">
        <f t="shared" si="39"/>
        <v>15.75</v>
      </c>
      <c r="R50" s="92" t="s">
        <v>0</v>
      </c>
      <c r="S50" s="88">
        <f t="shared" si="40"/>
        <v>10.5</v>
      </c>
      <c r="T50" s="100">
        <f>((AM50/(1+AUXILIAR!$BJ$4))-((AM50/(1+AUXILIAR!$BJ$4))*AUXILIAR!$BK$4))-(((AM50/(1+AUXILIAR!$BJ$4))-((AM50/(1+AUXILIAR!$BJ$4))*AUXILIAR!$BK$4))*((AUXILIAR!$BL$4+AUXILIAR!$BM$4)))</f>
        <v>3.867312348668281</v>
      </c>
      <c r="U50" s="100">
        <f>((S50/(1+AUXILIAR!$BJ$7))-((S50/(1+AUXILIAR!$BJ$7))*AUXILIAR!$BK$7))-(((S50/(1+AUXILIAR!$BJ$7))-((S50/(1+AUXILIAR!$BJ$7))*AUXILIAR!$BK$7))*((AUXILIAR!$BL$7+AUXILIAR!$BM$7)))</f>
        <v>8.3853000000000009</v>
      </c>
      <c r="V50" s="101">
        <f>AM50-(AM50/(1+AUXILIAR!$BJ$4))</f>
        <v>0.15738498789346256</v>
      </c>
      <c r="W50" s="102">
        <f>(AM50-V50)*AUXILIAR!$BK$4</f>
        <v>0.58111380145278446</v>
      </c>
      <c r="X50" s="102">
        <f>(AM50-V50-W50)*(AUXILIAR!$BL$4+AUXILIAR!$BM$4)</f>
        <v>0.39418886198547215</v>
      </c>
      <c r="Y50" s="102">
        <f>X50-(X50/(1+AUXILIAR!$BJ$7))</f>
        <v>0</v>
      </c>
      <c r="Z50" s="102">
        <f>(S50-Y50)*AUXILIAR!$BK$7</f>
        <v>1.26</v>
      </c>
      <c r="AA50" s="102">
        <f>(S50-Y50-Z50)*(AUXILIAR!$BL$7+AUXILIAR!$BM$7)</f>
        <v>0.85470000000000002</v>
      </c>
      <c r="AB50" s="103">
        <f t="shared" si="41"/>
        <v>0.15738498789346256</v>
      </c>
      <c r="AC50" s="103">
        <f t="shared" si="42"/>
        <v>-0.67888619854721555</v>
      </c>
      <c r="AD50" s="103">
        <f t="shared" si="43"/>
        <v>-0.46051113801452787</v>
      </c>
      <c r="AE50" s="103">
        <f t="shared" si="44"/>
        <v>-0.9820123486682808</v>
      </c>
      <c r="AF50" s="103">
        <f t="shared" si="45"/>
        <v>15.706907999999999</v>
      </c>
      <c r="AG50" s="102">
        <f t="shared" si="46"/>
        <v>0.98926890133171863</v>
      </c>
      <c r="AH50" s="100">
        <f t="shared" si="47"/>
        <v>1.4798433924265124</v>
      </c>
      <c r="AI50" s="104">
        <f t="shared" si="48"/>
        <v>9.4216085841116057E-2</v>
      </c>
      <c r="AJ50" s="100">
        <f t="shared" si="49"/>
        <v>13.046706401331722</v>
      </c>
      <c r="AK50" s="100">
        <f t="shared" si="50"/>
        <v>19.516515918926515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5</v>
      </c>
      <c r="AN50" s="100">
        <f t="shared" si="51"/>
        <v>4.5179876513317199</v>
      </c>
      <c r="AO50" s="100">
        <f t="shared" si="52"/>
        <v>0.21</v>
      </c>
      <c r="AP50" s="100">
        <f t="shared" si="53"/>
        <v>0.26</v>
      </c>
      <c r="AQ50" s="212">
        <f>IFERROR(INDEX(AUXILIAR!$AG$3:$AG$28,MATCH(G50,AUXILIAR!$AH$3:$AH$28,1))*AM50,0)</f>
        <v>2.0587187500000006</v>
      </c>
      <c r="AR50" s="105">
        <f>IF(R50="GUILHOTINA",IFERROR(VLOOKUP(G50,AUXILIAR!$Q:$S,3,FALSE),""),IF(R50="LASER",IFERROR(VLOOKUP(G50,AUXILIAR!$E:$I,3,FALSE),""),IF(R50="PLASMA",IFERROR(VLOOKUP(G50,AUXILIAR!$K:$O,3,FALSE),""),"")))</f>
        <v>1870</v>
      </c>
      <c r="AS50" s="89">
        <f t="shared" si="54"/>
        <v>12000</v>
      </c>
      <c r="AT50" s="89">
        <f t="shared" si="55"/>
        <v>24000</v>
      </c>
      <c r="AU50" s="89">
        <f t="shared" si="56"/>
        <v>1266.194671058465</v>
      </c>
      <c r="AV50" s="89">
        <f t="shared" si="57"/>
        <v>633.09733552923251</v>
      </c>
      <c r="AW50" s="89">
        <f t="shared" si="58"/>
        <v>1266.194671058465</v>
      </c>
      <c r="AX50" s="89">
        <f>IFERROR(
IF($R50="LASER",
   VLOOKUP($G50,AUXILIAR!$E$3:$G$27,3,FALSE),
IF($R50="PLASMA",
   VLOOKUP($G50,AUXILIAR!$K$6:$M$28,3,FALSE),
0)),
0)</f>
        <v>1870</v>
      </c>
      <c r="AY50" s="89">
        <f t="shared" si="59"/>
        <v>94.247779607693786</v>
      </c>
      <c r="AZ50" s="89">
        <f t="shared" si="60"/>
        <v>1870</v>
      </c>
      <c r="BA50" s="201">
        <f t="shared" si="61"/>
        <v>5.0399882143151754E-2</v>
      </c>
      <c r="BB50" s="201">
        <f t="shared" si="62"/>
        <v>0.16666666666666666</v>
      </c>
      <c r="BC50" s="201">
        <f t="shared" si="63"/>
        <v>0.38373321547648509</v>
      </c>
      <c r="BD50" s="201">
        <f t="shared" si="34"/>
        <v>0.45</v>
      </c>
      <c r="BE50" s="89">
        <f t="shared" si="30"/>
        <v>841.5</v>
      </c>
      <c r="BF50" s="91">
        <f t="shared" si="31"/>
        <v>0.11</v>
      </c>
      <c r="BG50" s="91">
        <f t="shared" si="32"/>
        <v>1.3333333333333334E-2</v>
      </c>
      <c r="BH50" s="201">
        <f t="shared" si="33"/>
        <v>2.0117542149517855</v>
      </c>
    </row>
    <row r="51" spans="1:60" x14ac:dyDescent="0.35">
      <c r="A51" s="85">
        <v>3253</v>
      </c>
      <c r="B51" s="85" t="s">
        <v>210</v>
      </c>
      <c r="C51" s="85">
        <v>1</v>
      </c>
      <c r="D51" s="85" t="s">
        <v>44</v>
      </c>
      <c r="E51" s="86"/>
      <c r="F51" s="86"/>
      <c r="G51" s="86">
        <v>3</v>
      </c>
      <c r="H51" s="87">
        <v>200</v>
      </c>
      <c r="I51" s="87">
        <v>1100</v>
      </c>
      <c r="J51" s="85"/>
      <c r="K51" s="99">
        <v>1200</v>
      </c>
      <c r="L51" s="90">
        <f t="shared" si="35"/>
        <v>5.181</v>
      </c>
      <c r="M51" s="198">
        <f t="shared" si="36"/>
        <v>5.181</v>
      </c>
      <c r="N51" s="91">
        <f t="shared" si="37"/>
        <v>0.20392156862745098</v>
      </c>
      <c r="O51" s="211">
        <f>IF(L51="",0,IFERROR(IF($M$2="ESTUDO",BH51,N51)+INDEX(AUXILIAR!$AO$3:$AO$8,MATCH(L51,{0;2;5;10;20;50},1))*1440,IF(M51="ESTUDO",BH51,N51)))</f>
        <v>10.820228758169932</v>
      </c>
      <c r="P51" s="100">
        <f t="shared" si="38"/>
        <v>54.39</v>
      </c>
      <c r="Q51" s="100">
        <f t="shared" si="39"/>
        <v>54.39</v>
      </c>
      <c r="R51" s="92" t="s">
        <v>0</v>
      </c>
      <c r="S51" s="88">
        <f t="shared" si="40"/>
        <v>10.5</v>
      </c>
      <c r="T51" s="100">
        <f>((AM51/(1+AUXILIAR!$BJ$4))-((AM51/(1+AUXILIAR!$BJ$4))*AUXILIAR!$BK$4))-(((AM51/(1+AUXILIAR!$BJ$4))-((AM51/(1+AUXILIAR!$BJ$4))*AUXILIAR!$BK$4))*((AUXILIAR!$BL$4+AUXILIAR!$BM$4)))</f>
        <v>3.867312348668281</v>
      </c>
      <c r="U51" s="100">
        <f>((S51/(1+AUXILIAR!$BJ$7))-((S51/(1+AUXILIAR!$BJ$7))*AUXILIAR!$BK$7))-(((S51/(1+AUXILIAR!$BJ$7))-((S51/(1+AUXILIAR!$BJ$7))*AUXILIAR!$BK$7))*((AUXILIAR!$BL$7+AUXILIAR!$BM$7)))</f>
        <v>8.3853000000000009</v>
      </c>
      <c r="V51" s="101">
        <f>AM51-(AM51/(1+AUXILIAR!$BJ$4))</f>
        <v>0.15738498789346256</v>
      </c>
      <c r="W51" s="102">
        <f>(AM51-V51)*AUXILIAR!$BK$4</f>
        <v>0.58111380145278446</v>
      </c>
      <c r="X51" s="102">
        <f>(AM51-V51-W51)*(AUXILIAR!$BL$4+AUXILIAR!$BM$4)</f>
        <v>0.39418886198547215</v>
      </c>
      <c r="Y51" s="102">
        <f>X51-(X51/(1+AUXILIAR!$BJ$7))</f>
        <v>0</v>
      </c>
      <c r="Z51" s="102">
        <f>(S51-Y51)*AUXILIAR!$BK$7</f>
        <v>1.26</v>
      </c>
      <c r="AA51" s="102">
        <f>(S51-Y51-Z51)*(AUXILIAR!$BL$7+AUXILIAR!$BM$7)</f>
        <v>0.85470000000000002</v>
      </c>
      <c r="AB51" s="103">
        <f t="shared" si="41"/>
        <v>0.15738498789346256</v>
      </c>
      <c r="AC51" s="103">
        <f t="shared" si="42"/>
        <v>-0.67888619854721555</v>
      </c>
      <c r="AD51" s="103">
        <f t="shared" si="43"/>
        <v>-0.46051113801452787</v>
      </c>
      <c r="AE51" s="103">
        <f t="shared" si="44"/>
        <v>-0.9820123486682808</v>
      </c>
      <c r="AF51" s="103">
        <f t="shared" si="45"/>
        <v>54.400500000000001</v>
      </c>
      <c r="AG51" s="102">
        <f t="shared" si="46"/>
        <v>2.1345795263317191</v>
      </c>
      <c r="AH51" s="100">
        <f t="shared" si="47"/>
        <v>11.059256525924637</v>
      </c>
      <c r="AI51" s="104">
        <f t="shared" si="48"/>
        <v>0.20329328822206849</v>
      </c>
      <c r="AJ51" s="100">
        <f t="shared" si="49"/>
        <v>11.90139577633172</v>
      </c>
      <c r="AK51" s="100">
        <f t="shared" si="50"/>
        <v>61.661131517174638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5</v>
      </c>
      <c r="AN51" s="100">
        <f t="shared" si="51"/>
        <v>4.5179876513317199</v>
      </c>
      <c r="AO51" s="100">
        <f t="shared" si="52"/>
        <v>0.21</v>
      </c>
      <c r="AP51" s="100">
        <f t="shared" si="53"/>
        <v>0.26</v>
      </c>
      <c r="AQ51" s="212">
        <f>IFERROR(INDEX(AUXILIAR!$AG$3:$AG$28,MATCH(G51,AUXILIAR!$AH$3:$AH$28,1))*AM51,0)</f>
        <v>0.9134081249999999</v>
      </c>
      <c r="AR51" s="105">
        <f>IF(R51="GUILHOTINA",IFERROR(VLOOKUP(G51,AUXILIAR!$Q:$S,3,FALSE),""),IF(R51="LASER",IFERROR(VLOOKUP(G51,AUXILIAR!$E:$I,3,FALSE),""),IF(R51="PLASMA",IFERROR(VLOOKUP(G51,AUXILIAR!$K:$O,3,FALSE),""),"")))</f>
        <v>12750</v>
      </c>
      <c r="AS51" s="89">
        <f t="shared" si="54"/>
        <v>220000</v>
      </c>
      <c r="AT51" s="89">
        <f t="shared" si="55"/>
        <v>220000</v>
      </c>
      <c r="AU51" s="89">
        <f t="shared" si="56"/>
        <v>2600</v>
      </c>
      <c r="AV51" s="89">
        <f t="shared" si="57"/>
        <v>2600</v>
      </c>
      <c r="AW51" s="89">
        <f t="shared" si="58"/>
        <v>2600</v>
      </c>
      <c r="AX51" s="89">
        <f>IFERROR(
IF($R51="LASER",
   VLOOKUP($G51,AUXILIAR!$E$3:$G$27,3,FALSE),
IF($R51="PLASMA",
   VLOOKUP($G51,AUXILIAR!$K$6:$M$28,3,FALSE),
0)),
0)</f>
        <v>12750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0.75</v>
      </c>
      <c r="BE51" s="89">
        <f t="shared" si="30"/>
        <v>9562.5</v>
      </c>
      <c r="BF51" s="91">
        <f t="shared" si="31"/>
        <v>1.5000000000000001E-2</v>
      </c>
      <c r="BG51" s="91">
        <f t="shared" si="32"/>
        <v>3.3333333333333333E-2</v>
      </c>
      <c r="BH51" s="201">
        <f t="shared" si="33"/>
        <v>0.32022875816993462</v>
      </c>
    </row>
    <row r="52" spans="1:60" x14ac:dyDescent="0.35">
      <c r="A52" s="85">
        <v>3253</v>
      </c>
      <c r="B52" s="85" t="s">
        <v>239</v>
      </c>
      <c r="C52" s="85">
        <v>2</v>
      </c>
      <c r="D52" s="85" t="s">
        <v>44</v>
      </c>
      <c r="E52" s="86">
        <v>2</v>
      </c>
      <c r="F52" s="86">
        <v>17</v>
      </c>
      <c r="G52" s="86">
        <v>9.5299999999999994</v>
      </c>
      <c r="H52" s="87">
        <v>377</v>
      </c>
      <c r="I52" s="87">
        <v>50</v>
      </c>
      <c r="J52" s="85"/>
      <c r="K52" s="99">
        <v>1200</v>
      </c>
      <c r="L52" s="90">
        <f t="shared" si="35"/>
        <v>1.4101779249999999</v>
      </c>
      <c r="M52" s="198">
        <f t="shared" si="36"/>
        <v>2.8203558499999999</v>
      </c>
      <c r="N52" s="91">
        <f t="shared" si="37"/>
        <v>1.6157903678565408</v>
      </c>
      <c r="O52" s="211">
        <f>IF(L52="",0,IFERROR(IF($M$2="ESTUDO",BH52,N52)+INDEX(AUXILIAR!$AO$3:$AO$8,MATCH(L52,{0;2;5;10;20;50},1))*1440,IF(M52="ESTUDO",BH52,N52)))</f>
        <v>8.3900025290672424</v>
      </c>
      <c r="P52" s="100">
        <f t="shared" si="38"/>
        <v>14.805</v>
      </c>
      <c r="Q52" s="100">
        <f t="shared" si="39"/>
        <v>29.61</v>
      </c>
      <c r="R52" s="92" t="s">
        <v>0</v>
      </c>
      <c r="S52" s="88">
        <f t="shared" si="40"/>
        <v>10.5</v>
      </c>
      <c r="T52" s="100">
        <f>((AM52/(1+AUXILIAR!$BJ$4))-((AM52/(1+AUXILIAR!$BJ$4))*AUXILIAR!$BK$4))-(((AM52/(1+AUXILIAR!$BJ$4))-((AM52/(1+AUXILIAR!$BJ$4))*AUXILIAR!$BK$4))*((AUXILIAR!$BL$4+AUXILIAR!$BM$4)))</f>
        <v>3.867312348668281</v>
      </c>
      <c r="U52" s="100">
        <f>((S52/(1+AUXILIAR!$BJ$7))-((S52/(1+AUXILIAR!$BJ$7))*AUXILIAR!$BK$7))-(((S52/(1+AUXILIAR!$BJ$7))-((S52/(1+AUXILIAR!$BJ$7))*AUXILIAR!$BK$7))*((AUXILIAR!$BL$7+AUXILIAR!$BM$7)))</f>
        <v>8.3853000000000009</v>
      </c>
      <c r="V52" s="101">
        <f>AM52-(AM52/(1+AUXILIAR!$BJ$4))</f>
        <v>0.15738498789346256</v>
      </c>
      <c r="W52" s="102">
        <f>(AM52-V52)*AUXILIAR!$BK$4</f>
        <v>0.58111380145278446</v>
      </c>
      <c r="X52" s="102">
        <f>(AM52-V52-W52)*(AUXILIAR!$BL$4+AUXILIAR!$BM$4)</f>
        <v>0.39418886198547215</v>
      </c>
      <c r="Y52" s="102">
        <f>X52-(X52/(1+AUXILIAR!$BJ$7))</f>
        <v>0</v>
      </c>
      <c r="Z52" s="102">
        <f>(S52-Y52)*AUXILIAR!$BK$7</f>
        <v>1.26</v>
      </c>
      <c r="AA52" s="102">
        <f>(S52-Y52-Z52)*(AUXILIAR!$BL$7+AUXILIAR!$BM$7)</f>
        <v>0.85470000000000002</v>
      </c>
      <c r="AB52" s="103">
        <f t="shared" si="41"/>
        <v>0.15738498789346256</v>
      </c>
      <c r="AC52" s="103">
        <f t="shared" si="42"/>
        <v>-0.67888619854721555</v>
      </c>
      <c r="AD52" s="103">
        <f t="shared" si="43"/>
        <v>-0.46051113801452787</v>
      </c>
      <c r="AE52" s="103">
        <f t="shared" si="44"/>
        <v>-0.9820123486682808</v>
      </c>
      <c r="AF52" s="103">
        <f t="shared" si="45"/>
        <v>29.613736424999999</v>
      </c>
      <c r="AG52" s="102">
        <f t="shared" si="46"/>
        <v>3.0479876513317192</v>
      </c>
      <c r="AH52" s="100">
        <f t="shared" si="47"/>
        <v>8.5964098031611744</v>
      </c>
      <c r="AI52" s="104">
        <f t="shared" si="48"/>
        <v>0.29028453822206851</v>
      </c>
      <c r="AJ52" s="100">
        <f t="shared" si="49"/>
        <v>10.98798765133172</v>
      </c>
      <c r="AK52" s="100">
        <f t="shared" si="50"/>
        <v>30.990035252161174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5</v>
      </c>
      <c r="AN52" s="100">
        <f t="shared" si="51"/>
        <v>4.5179876513317199</v>
      </c>
      <c r="AO52" s="100">
        <f t="shared" si="52"/>
        <v>0.21</v>
      </c>
      <c r="AP52" s="100">
        <f t="shared" si="53"/>
        <v>0.26</v>
      </c>
      <c r="AQ52" s="212">
        <f>IFERROR(INDEX(AUXILIAR!$AG$3:$AG$28,MATCH(G52,AUXILIAR!$AH$3:$AH$28,1))*AM52,0)</f>
        <v>0</v>
      </c>
      <c r="AR52" s="105">
        <f>IF(R52="GUILHOTINA",IFERROR(VLOOKUP(G52,AUXILIAR!$Q:$S,3,FALSE),""),IF(R52="LASER",IFERROR(VLOOKUP(G52,AUXILIAR!$E:$I,3,FALSE),""),IF(R52="PLASMA",IFERROR(VLOOKUP(G52,AUXILIAR!$K:$O,3,FALSE),""),"")))</f>
        <v>1615</v>
      </c>
      <c r="AS52" s="89">
        <f t="shared" si="54"/>
        <v>18850</v>
      </c>
      <c r="AT52" s="89">
        <f t="shared" si="55"/>
        <v>37700</v>
      </c>
      <c r="AU52" s="89">
        <f t="shared" si="56"/>
        <v>1964.3539605329272</v>
      </c>
      <c r="AV52" s="89">
        <f t="shared" si="57"/>
        <v>982.1769802664636</v>
      </c>
      <c r="AW52" s="89">
        <f t="shared" si="58"/>
        <v>1964.3539605329272</v>
      </c>
      <c r="AX52" s="89">
        <f>IFERROR(
IF($R52="LASER",
   VLOOKUP($G52,AUXILIAR!$E$3:$G$27,3,FALSE),
IF($R52="PLASMA",
   VLOOKUP($G52,AUXILIAR!$K$6:$M$28,3,FALSE),
0)),
0)</f>
        <v>1615</v>
      </c>
      <c r="AY52" s="89">
        <f t="shared" si="59"/>
        <v>106.81415022205297</v>
      </c>
      <c r="AZ52" s="89">
        <f t="shared" si="60"/>
        <v>1615</v>
      </c>
      <c r="BA52" s="201">
        <f t="shared" si="61"/>
        <v>6.6138792707153546E-2</v>
      </c>
      <c r="BB52" s="201">
        <f t="shared" si="62"/>
        <v>0.16666666666666666</v>
      </c>
      <c r="BC52" s="201">
        <f t="shared" si="63"/>
        <v>0.39947212604048687</v>
      </c>
      <c r="BD52" s="201">
        <f t="shared" si="34"/>
        <v>0.6</v>
      </c>
      <c r="BE52" s="89">
        <f t="shared" si="30"/>
        <v>969</v>
      </c>
      <c r="BF52" s="91">
        <f t="shared" si="31"/>
        <v>0.11</v>
      </c>
      <c r="BG52" s="91">
        <f t="shared" si="32"/>
        <v>0.02</v>
      </c>
      <c r="BH52" s="201">
        <f t="shared" si="33"/>
        <v>2.5566691957339098</v>
      </c>
    </row>
    <row r="53" spans="1:60" x14ac:dyDescent="0.35">
      <c r="A53" s="85">
        <v>3253</v>
      </c>
      <c r="B53" s="85" t="s">
        <v>240</v>
      </c>
      <c r="C53" s="85">
        <v>2</v>
      </c>
      <c r="D53" s="85" t="s">
        <v>44</v>
      </c>
      <c r="E53" s="86"/>
      <c r="F53" s="86"/>
      <c r="G53" s="86">
        <v>6.35</v>
      </c>
      <c r="H53" s="87">
        <v>93</v>
      </c>
      <c r="I53" s="87">
        <v>44</v>
      </c>
      <c r="J53" s="85"/>
      <c r="K53" s="99">
        <v>1200</v>
      </c>
      <c r="L53" s="90">
        <f t="shared" si="35"/>
        <v>0.20397596999999998</v>
      </c>
      <c r="M53" s="198">
        <f t="shared" si="36"/>
        <v>0.40795193999999996</v>
      </c>
      <c r="N53" s="91">
        <f t="shared" si="37"/>
        <v>0.26862745098039215</v>
      </c>
      <c r="O53" s="211">
        <f>IF(L53="",0,IFERROR(IF($M$2="ESTUDO",BH53,N53)+INDEX(AUXILIAR!$AO$3:$AO$8,MATCH(L53,{0;2;5;10;20;50},1))*1440,IF(M53="ESTUDO",BH53,N53)))</f>
        <v>6.6391736694677865</v>
      </c>
      <c r="P53" s="100">
        <f t="shared" si="38"/>
        <v>2.1524999999999999</v>
      </c>
      <c r="Q53" s="100">
        <f t="shared" si="39"/>
        <v>4.3049999999999997</v>
      </c>
      <c r="R53" s="92" t="s">
        <v>0</v>
      </c>
      <c r="S53" s="88">
        <f t="shared" si="40"/>
        <v>10.5</v>
      </c>
      <c r="T53" s="100">
        <f>((AM53/(1+AUXILIAR!$BJ$4))-((AM53/(1+AUXILIAR!$BJ$4))*AUXILIAR!$BK$4))-(((AM53/(1+AUXILIAR!$BJ$4))-((AM53/(1+AUXILIAR!$BJ$4))*AUXILIAR!$BK$4))*((AUXILIAR!$BL$4+AUXILIAR!$BM$4)))</f>
        <v>3.867312348668281</v>
      </c>
      <c r="U53" s="100">
        <f>((S53/(1+AUXILIAR!$BJ$7))-((S53/(1+AUXILIAR!$BJ$7))*AUXILIAR!$BK$7))-(((S53/(1+AUXILIAR!$BJ$7))-((S53/(1+AUXILIAR!$BJ$7))*AUXILIAR!$BK$7))*((AUXILIAR!$BL$7+AUXILIAR!$BM$7)))</f>
        <v>8.3853000000000009</v>
      </c>
      <c r="V53" s="101">
        <f>AM53-(AM53/(1+AUXILIAR!$BJ$4))</f>
        <v>0.15738498789346256</v>
      </c>
      <c r="W53" s="102">
        <f>(AM53-V53)*AUXILIAR!$BK$4</f>
        <v>0.58111380145278446</v>
      </c>
      <c r="X53" s="102">
        <f>(AM53-V53-W53)*(AUXILIAR!$BL$4+AUXILIAR!$BM$4)</f>
        <v>0.39418886198547215</v>
      </c>
      <c r="Y53" s="102">
        <f>X53-(X53/(1+AUXILIAR!$BJ$7))</f>
        <v>0</v>
      </c>
      <c r="Z53" s="102">
        <f>(S53-Y53)*AUXILIAR!$BK$7</f>
        <v>1.26</v>
      </c>
      <c r="AA53" s="102">
        <f>(S53-Y53-Z53)*(AUXILIAR!$BL$7+AUXILIAR!$BM$7)</f>
        <v>0.85470000000000002</v>
      </c>
      <c r="AB53" s="103">
        <f t="shared" si="41"/>
        <v>0.15738498789346256</v>
      </c>
      <c r="AC53" s="103">
        <f t="shared" si="42"/>
        <v>-0.67888619854721555</v>
      </c>
      <c r="AD53" s="103">
        <f t="shared" si="43"/>
        <v>-0.46051113801452787</v>
      </c>
      <c r="AE53" s="103">
        <f t="shared" si="44"/>
        <v>-0.9820123486682808</v>
      </c>
      <c r="AF53" s="103">
        <f t="shared" si="45"/>
        <v>4.2834953699999998</v>
      </c>
      <c r="AG53" s="102">
        <f t="shared" si="46"/>
        <v>2.5479876513317192</v>
      </c>
      <c r="AH53" s="100">
        <f t="shared" si="47"/>
        <v>1.0394565054568183</v>
      </c>
      <c r="AI53" s="104">
        <f t="shared" si="48"/>
        <v>0.24266549060302087</v>
      </c>
      <c r="AJ53" s="100">
        <f t="shared" si="49"/>
        <v>11.48798765133172</v>
      </c>
      <c r="AK53" s="100">
        <f t="shared" si="50"/>
        <v>4.6865468490568185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5</v>
      </c>
      <c r="AN53" s="100">
        <f t="shared" si="51"/>
        <v>4.5179876513317199</v>
      </c>
      <c r="AO53" s="100">
        <f t="shared" si="52"/>
        <v>0.21</v>
      </c>
      <c r="AP53" s="100">
        <f t="shared" si="53"/>
        <v>0.26</v>
      </c>
      <c r="AQ53" s="212">
        <f>IFERROR(INDEX(AUXILIAR!$AG$3:$AG$28,MATCH(G53,AUXILIAR!$AH$3:$AH$28,1))*AM53,0)</f>
        <v>0.5</v>
      </c>
      <c r="AR53" s="105">
        <f>IF(R53="GUILHOTINA",IFERROR(VLOOKUP(G53,AUXILIAR!$Q:$S,3,FALSE),""),IF(R53="LASER",IFERROR(VLOOKUP(G53,AUXILIAR!$E:$I,3,FALSE),""),IF(R53="PLASMA",IFERROR(VLOOKUP(G53,AUXILIAR!$K:$O,3,FALSE),""),"")))</f>
        <v>2040</v>
      </c>
      <c r="AS53" s="89">
        <f t="shared" si="54"/>
        <v>4092</v>
      </c>
      <c r="AT53" s="89">
        <f t="shared" si="55"/>
        <v>8184</v>
      </c>
      <c r="AU53" s="89">
        <f t="shared" si="56"/>
        <v>548</v>
      </c>
      <c r="AV53" s="89">
        <f t="shared" si="57"/>
        <v>274</v>
      </c>
      <c r="AW53" s="89">
        <f t="shared" si="58"/>
        <v>548</v>
      </c>
      <c r="AX53" s="89">
        <f>IFERROR(
IF($R53="LASER",
   VLOOKUP($G53,AUXILIAR!$E$3:$G$27,3,FALSE),
IF($R53="PLASMA",
   VLOOKUP($G53,AUXILIAR!$K$6:$M$28,3,FALSE),
0)),
0)</f>
        <v>2040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0.35</v>
      </c>
      <c r="BE53" s="89">
        <f t="shared" si="30"/>
        <v>714</v>
      </c>
      <c r="BF53" s="91">
        <f t="shared" si="31"/>
        <v>2.5000000000000001E-2</v>
      </c>
      <c r="BG53" s="91">
        <f t="shared" si="32"/>
        <v>1.3333333333333334E-2</v>
      </c>
      <c r="BH53" s="201">
        <f t="shared" si="33"/>
        <v>0.80584033613445383</v>
      </c>
    </row>
    <row r="54" spans="1:60" x14ac:dyDescent="0.35">
      <c r="A54" s="85">
        <v>3253</v>
      </c>
      <c r="B54" s="85" t="s">
        <v>241</v>
      </c>
      <c r="C54" s="85">
        <v>3</v>
      </c>
      <c r="D54" s="85" t="s">
        <v>44</v>
      </c>
      <c r="E54" s="86"/>
      <c r="F54" s="86"/>
      <c r="G54" s="86">
        <v>3</v>
      </c>
      <c r="H54" s="87">
        <v>1250</v>
      </c>
      <c r="I54" s="87">
        <v>200</v>
      </c>
      <c r="J54" s="85"/>
      <c r="K54" s="99">
        <v>1200</v>
      </c>
      <c r="L54" s="90">
        <f t="shared" si="35"/>
        <v>5.8875000000000002</v>
      </c>
      <c r="M54" s="198">
        <f t="shared" si="36"/>
        <v>17.662500000000001</v>
      </c>
      <c r="N54" s="91">
        <f t="shared" si="37"/>
        <v>0.68235294117647061</v>
      </c>
      <c r="O54" s="211">
        <f>IF(L54="",0,IFERROR(IF($M$2="ESTUDO",BH54,N54)+INDEX(AUXILIAR!$AO$3:$AO$8,MATCH(L54,{0;2;5;10;20;50},1))*1440,IF(M54="ESTUDO",BH54,N54)))</f>
        <v>11.45813725490196</v>
      </c>
      <c r="P54" s="100">
        <f t="shared" si="38"/>
        <v>61.81</v>
      </c>
      <c r="Q54" s="100">
        <f t="shared" si="39"/>
        <v>185.43</v>
      </c>
      <c r="R54" s="92" t="s">
        <v>0</v>
      </c>
      <c r="S54" s="88">
        <f t="shared" si="40"/>
        <v>10.5</v>
      </c>
      <c r="T54" s="100">
        <f>((AM54/(1+AUXILIAR!$BJ$4))-((AM54/(1+AUXILIAR!$BJ$4))*AUXILIAR!$BK$4))-(((AM54/(1+AUXILIAR!$BJ$4))-((AM54/(1+AUXILIAR!$BJ$4))*AUXILIAR!$BK$4))*((AUXILIAR!$BL$4+AUXILIAR!$BM$4)))</f>
        <v>3.867312348668281</v>
      </c>
      <c r="U54" s="100">
        <f>((S54/(1+AUXILIAR!$BJ$7))-((S54/(1+AUXILIAR!$BJ$7))*AUXILIAR!$BK$7))-(((S54/(1+AUXILIAR!$BJ$7))-((S54/(1+AUXILIAR!$BJ$7))*AUXILIAR!$BK$7))*((AUXILIAR!$BL$7+AUXILIAR!$BM$7)))</f>
        <v>8.3853000000000009</v>
      </c>
      <c r="V54" s="101">
        <f>AM54-(AM54/(1+AUXILIAR!$BJ$4))</f>
        <v>0.15738498789346256</v>
      </c>
      <c r="W54" s="102">
        <f>(AM54-V54)*AUXILIAR!$BK$4</f>
        <v>0.58111380145278446</v>
      </c>
      <c r="X54" s="102">
        <f>(AM54-V54-W54)*(AUXILIAR!$BL$4+AUXILIAR!$BM$4)</f>
        <v>0.39418886198547215</v>
      </c>
      <c r="Y54" s="102">
        <f>X54-(X54/(1+AUXILIAR!$BJ$7))</f>
        <v>0</v>
      </c>
      <c r="Z54" s="102">
        <f>(S54-Y54)*AUXILIAR!$BK$7</f>
        <v>1.26</v>
      </c>
      <c r="AA54" s="102">
        <f>(S54-Y54-Z54)*(AUXILIAR!$BL$7+AUXILIAR!$BM$7)</f>
        <v>0.85470000000000002</v>
      </c>
      <c r="AB54" s="103">
        <f t="shared" si="41"/>
        <v>0.15738498789346256</v>
      </c>
      <c r="AC54" s="103">
        <f t="shared" si="42"/>
        <v>-0.67888619854721555</v>
      </c>
      <c r="AD54" s="103">
        <f t="shared" si="43"/>
        <v>-0.46051113801452787</v>
      </c>
      <c r="AE54" s="103">
        <f t="shared" si="44"/>
        <v>-0.9820123486682808</v>
      </c>
      <c r="AF54" s="103">
        <f t="shared" si="45"/>
        <v>185.45625000000001</v>
      </c>
      <c r="AG54" s="102">
        <f t="shared" si="46"/>
        <v>2.1345795263317191</v>
      </c>
      <c r="AH54" s="100">
        <f t="shared" si="47"/>
        <v>37.702010883833992</v>
      </c>
      <c r="AI54" s="104">
        <f t="shared" si="48"/>
        <v>0.20329328822206849</v>
      </c>
      <c r="AJ54" s="100">
        <f t="shared" si="49"/>
        <v>11.90139577633172</v>
      </c>
      <c r="AK54" s="100">
        <f t="shared" si="50"/>
        <v>210.208402899459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5</v>
      </c>
      <c r="AN54" s="100">
        <f t="shared" si="51"/>
        <v>4.5179876513317199</v>
      </c>
      <c r="AO54" s="100">
        <f t="shared" si="52"/>
        <v>0.21</v>
      </c>
      <c r="AP54" s="100">
        <f t="shared" si="53"/>
        <v>0.26</v>
      </c>
      <c r="AQ54" s="212">
        <f>IFERROR(INDEX(AUXILIAR!$AG$3:$AG$28,MATCH(G54,AUXILIAR!$AH$3:$AH$28,1))*AM54,0)</f>
        <v>0.9134081249999999</v>
      </c>
      <c r="AR54" s="105">
        <f>IF(R54="GUILHOTINA",IFERROR(VLOOKUP(G54,AUXILIAR!$Q:$S,3,FALSE),""),IF(R54="LASER",IFERROR(VLOOKUP(G54,AUXILIAR!$E:$I,3,FALSE),""),IF(R54="PLASMA",IFERROR(VLOOKUP(G54,AUXILIAR!$K:$O,3,FALSE),""),"")))</f>
        <v>12750</v>
      </c>
      <c r="AS54" s="89">
        <f t="shared" si="54"/>
        <v>250000</v>
      </c>
      <c r="AT54" s="89">
        <f t="shared" si="55"/>
        <v>750000</v>
      </c>
      <c r="AU54" s="89">
        <f t="shared" si="56"/>
        <v>8700</v>
      </c>
      <c r="AV54" s="89">
        <f t="shared" si="57"/>
        <v>2900</v>
      </c>
      <c r="AW54" s="89">
        <f t="shared" si="58"/>
        <v>8700</v>
      </c>
      <c r="AX54" s="89">
        <f>IFERROR(
IF($R54="LASER",
   VLOOKUP($G54,AUXILIAR!$E$3:$G$27,3,FALSE),
IF($R54="PLASMA",
   VLOOKUP($G54,AUXILIAR!$K$6:$M$28,3,FALSE),
0)),
0)</f>
        <v>12750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0.75</v>
      </c>
      <c r="BE54" s="89">
        <f t="shared" si="30"/>
        <v>9562.5</v>
      </c>
      <c r="BF54" s="91">
        <f t="shared" si="31"/>
        <v>1.5000000000000001E-2</v>
      </c>
      <c r="BG54" s="91">
        <f t="shared" si="32"/>
        <v>3.3333333333333333E-2</v>
      </c>
      <c r="BH54" s="201">
        <f t="shared" si="33"/>
        <v>0.95813725490196078</v>
      </c>
    </row>
    <row r="55" spans="1:60" s="98" customFormat="1" x14ac:dyDescent="0.35">
      <c r="A55" s="85">
        <v>3253</v>
      </c>
      <c r="B55" s="85" t="s">
        <v>242</v>
      </c>
      <c r="C55" s="85">
        <v>2</v>
      </c>
      <c r="D55" s="85" t="s">
        <v>44</v>
      </c>
      <c r="E55" s="86"/>
      <c r="F55" s="86"/>
      <c r="G55" s="86">
        <v>3</v>
      </c>
      <c r="H55" s="87">
        <v>1108</v>
      </c>
      <c r="I55" s="87">
        <v>200</v>
      </c>
      <c r="J55" s="85"/>
      <c r="K55" s="99">
        <v>1200</v>
      </c>
      <c r="L55" s="90">
        <f t="shared" si="35"/>
        <v>5.21868</v>
      </c>
      <c r="M55" s="198">
        <f t="shared" si="36"/>
        <v>10.43736</v>
      </c>
      <c r="N55" s="91">
        <f t="shared" si="37"/>
        <v>0.41035294117647059</v>
      </c>
      <c r="O55" s="211">
        <f>IF(L55="",0,IFERROR(IF($M$2="ESTUDO",BH55,N55)+INDEX(AUXILIAR!$AO$3:$AO$8,MATCH(L55,{0;2;5;10;20;50},1))*1440,IF(M55="ESTUDO",BH55,N55)))</f>
        <v>11.095470588235292</v>
      </c>
      <c r="P55" s="100">
        <f t="shared" si="38"/>
        <v>54.809999999999995</v>
      </c>
      <c r="Q55" s="100">
        <f t="shared" si="39"/>
        <v>109.61999999999999</v>
      </c>
      <c r="R55" s="92" t="s">
        <v>0</v>
      </c>
      <c r="S55" s="88">
        <f t="shared" si="40"/>
        <v>10.5</v>
      </c>
      <c r="T55" s="100">
        <f>((AM55/(1+AUXILIAR!$BJ$4))-((AM55/(1+AUXILIAR!$BJ$4))*AUXILIAR!$BK$4))-(((AM55/(1+AUXILIAR!$BJ$4))-((AM55/(1+AUXILIAR!$BJ$4))*AUXILIAR!$BK$4))*((AUXILIAR!$BL$4+AUXILIAR!$BM$4)))</f>
        <v>3.867312348668281</v>
      </c>
      <c r="U55" s="100">
        <f>((S55/(1+AUXILIAR!$BJ$7))-((S55/(1+AUXILIAR!$BJ$7))*AUXILIAR!$BK$7))-(((S55/(1+AUXILIAR!$BJ$7))-((S55/(1+AUXILIAR!$BJ$7))*AUXILIAR!$BK$7))*((AUXILIAR!$BL$7+AUXILIAR!$BM$7)))</f>
        <v>8.3853000000000009</v>
      </c>
      <c r="V55" s="101">
        <f>AM55-(AM55/(1+AUXILIAR!$BJ$4))</f>
        <v>0.15738498789346256</v>
      </c>
      <c r="W55" s="102">
        <f>(AM55-V55)*AUXILIAR!$BK$4</f>
        <v>0.58111380145278446</v>
      </c>
      <c r="X55" s="102">
        <f>(AM55-V55-W55)*(AUXILIAR!$BL$4+AUXILIAR!$BM$4)</f>
        <v>0.39418886198547215</v>
      </c>
      <c r="Y55" s="102">
        <f>X55-(X55/(1+AUXILIAR!$BJ$7))</f>
        <v>0</v>
      </c>
      <c r="Z55" s="102">
        <f>(S55-Y55)*AUXILIAR!$BK$7</f>
        <v>1.26</v>
      </c>
      <c r="AA55" s="102">
        <f>(S55-Y55-Z55)*(AUXILIAR!$BL$7+AUXILIAR!$BM$7)</f>
        <v>0.85470000000000002</v>
      </c>
      <c r="AB55" s="103">
        <f t="shared" si="41"/>
        <v>0.15738498789346256</v>
      </c>
      <c r="AC55" s="103">
        <f t="shared" si="42"/>
        <v>-0.67888619854721555</v>
      </c>
      <c r="AD55" s="103">
        <f t="shared" si="43"/>
        <v>-0.46051113801452787</v>
      </c>
      <c r="AE55" s="103">
        <f t="shared" si="44"/>
        <v>-0.9820123486682808</v>
      </c>
      <c r="AF55" s="103">
        <f t="shared" si="45"/>
        <v>109.59228</v>
      </c>
      <c r="AG55" s="102">
        <f t="shared" si="46"/>
        <v>2.1345795263317191</v>
      </c>
      <c r="AH55" s="100">
        <f t="shared" si="47"/>
        <v>22.279374964953632</v>
      </c>
      <c r="AI55" s="104">
        <f t="shared" si="48"/>
        <v>0.20329328822206849</v>
      </c>
      <c r="AJ55" s="100">
        <f t="shared" si="49"/>
        <v>11.90139577633172</v>
      </c>
      <c r="AK55" s="100">
        <f t="shared" si="50"/>
        <v>124.21915222005364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5</v>
      </c>
      <c r="AN55" s="100">
        <f t="shared" si="51"/>
        <v>4.5179876513317199</v>
      </c>
      <c r="AO55" s="100">
        <f t="shared" si="52"/>
        <v>0.21</v>
      </c>
      <c r="AP55" s="100">
        <f t="shared" si="53"/>
        <v>0.26</v>
      </c>
      <c r="AQ55" s="212">
        <f>IFERROR(INDEX(AUXILIAR!$AG$3:$AG$28,MATCH(G55,AUXILIAR!$AH$3:$AH$28,1))*AM55,0)</f>
        <v>0.9134081249999999</v>
      </c>
      <c r="AR55" s="105">
        <f>IF(R55="GUILHOTINA",IFERROR(VLOOKUP(G55,AUXILIAR!$Q:$S,3,FALSE),""),IF(R55="LASER",IFERROR(VLOOKUP(G55,AUXILIAR!$E:$I,3,FALSE),""),IF(R55="PLASMA",IFERROR(VLOOKUP(G55,AUXILIAR!$K:$O,3,FALSE),""),"")))</f>
        <v>12750</v>
      </c>
      <c r="AS55" s="89">
        <f t="shared" si="54"/>
        <v>221600</v>
      </c>
      <c r="AT55" s="89">
        <f t="shared" si="55"/>
        <v>443200</v>
      </c>
      <c r="AU55" s="89">
        <f t="shared" si="56"/>
        <v>5232</v>
      </c>
      <c r="AV55" s="89">
        <f t="shared" si="57"/>
        <v>2616</v>
      </c>
      <c r="AW55" s="89">
        <f t="shared" si="58"/>
        <v>5232</v>
      </c>
      <c r="AX55" s="89">
        <f>IFERROR(
IF($R55="LASER",
   VLOOKUP($G55,AUXILIAR!$E$3:$G$27,3,FALSE),
IF($R55="PLASMA",
   VLOOKUP($G55,AUXILIAR!$K$6:$M$28,3,FALSE),
0)),
0)</f>
        <v>12750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0.75</v>
      </c>
      <c r="BE55" s="89">
        <f t="shared" si="30"/>
        <v>9562.5</v>
      </c>
      <c r="BF55" s="91">
        <f t="shared" si="31"/>
        <v>1.5000000000000001E-2</v>
      </c>
      <c r="BG55" s="91">
        <f t="shared" si="32"/>
        <v>3.3333333333333333E-2</v>
      </c>
      <c r="BH55" s="201">
        <f t="shared" si="33"/>
        <v>0.59547058823529408</v>
      </c>
    </row>
    <row r="56" spans="1:60" x14ac:dyDescent="0.35">
      <c r="A56" s="85">
        <v>3253</v>
      </c>
      <c r="B56" s="85" t="s">
        <v>243</v>
      </c>
      <c r="C56" s="85">
        <v>2</v>
      </c>
      <c r="D56" s="85" t="s">
        <v>44</v>
      </c>
      <c r="E56" s="86"/>
      <c r="F56" s="86"/>
      <c r="G56" s="86">
        <v>3</v>
      </c>
      <c r="H56" s="87">
        <v>2092</v>
      </c>
      <c r="I56" s="87">
        <v>200</v>
      </c>
      <c r="J56" s="85"/>
      <c r="K56" s="99">
        <v>1200</v>
      </c>
      <c r="L56" s="90">
        <f t="shared" si="35"/>
        <v>9.8533200000000001</v>
      </c>
      <c r="M56" s="198">
        <f t="shared" si="36"/>
        <v>19.70664</v>
      </c>
      <c r="N56" s="91">
        <f t="shared" si="37"/>
        <v>0.71905882352941175</v>
      </c>
      <c r="O56" s="211">
        <f>IF(L56="",0,IFERROR(IF($M$2="ESTUDO",BH56,N56)+INDEX(AUXILIAR!$AO$3:$AO$8,MATCH(L56,{0;2;5;10;20;50},1))*1440,IF(M56="ESTUDO",BH56,N56)))</f>
        <v>11.394284890426757</v>
      </c>
      <c r="P56" s="100">
        <f t="shared" si="38"/>
        <v>103.47750000000001</v>
      </c>
      <c r="Q56" s="100">
        <f t="shared" si="39"/>
        <v>206.95500000000001</v>
      </c>
      <c r="R56" s="92" t="s">
        <v>0</v>
      </c>
      <c r="S56" s="88">
        <f t="shared" si="40"/>
        <v>10.5</v>
      </c>
      <c r="T56" s="100">
        <f>((AM56/(1+AUXILIAR!$BJ$4))-((AM56/(1+AUXILIAR!$BJ$4))*AUXILIAR!$BK$4))-(((AM56/(1+AUXILIAR!$BJ$4))-((AM56/(1+AUXILIAR!$BJ$4))*AUXILIAR!$BK$4))*((AUXILIAR!$BL$4+AUXILIAR!$BM$4)))</f>
        <v>3.867312348668281</v>
      </c>
      <c r="U56" s="100">
        <f>((S56/(1+AUXILIAR!$BJ$7))-((S56/(1+AUXILIAR!$BJ$7))*AUXILIAR!$BK$7))-(((S56/(1+AUXILIAR!$BJ$7))-((S56/(1+AUXILIAR!$BJ$7))*AUXILIAR!$BK$7))*((AUXILIAR!$BL$7+AUXILIAR!$BM$7)))</f>
        <v>8.3853000000000009</v>
      </c>
      <c r="V56" s="101">
        <f>AM56-(AM56/(1+AUXILIAR!$BJ$4))</f>
        <v>0.15738498789346256</v>
      </c>
      <c r="W56" s="102">
        <f>(AM56-V56)*AUXILIAR!$BK$4</f>
        <v>0.58111380145278446</v>
      </c>
      <c r="X56" s="102">
        <f>(AM56-V56-W56)*(AUXILIAR!$BL$4+AUXILIAR!$BM$4)</f>
        <v>0.39418886198547215</v>
      </c>
      <c r="Y56" s="102">
        <f>X56-(X56/(1+AUXILIAR!$BJ$7))</f>
        <v>0</v>
      </c>
      <c r="Z56" s="102">
        <f>(S56-Y56)*AUXILIAR!$BK$7</f>
        <v>1.26</v>
      </c>
      <c r="AA56" s="102">
        <f>(S56-Y56-Z56)*(AUXILIAR!$BL$7+AUXILIAR!$BM$7)</f>
        <v>0.85470000000000002</v>
      </c>
      <c r="AB56" s="103">
        <f t="shared" si="41"/>
        <v>0.15738498789346256</v>
      </c>
      <c r="AC56" s="103">
        <f t="shared" si="42"/>
        <v>-0.67888619854721555</v>
      </c>
      <c r="AD56" s="103">
        <f t="shared" si="43"/>
        <v>-0.46051113801452787</v>
      </c>
      <c r="AE56" s="103">
        <f t="shared" si="44"/>
        <v>-0.9820123486682808</v>
      </c>
      <c r="AF56" s="103">
        <f t="shared" si="45"/>
        <v>206.91972000000001</v>
      </c>
      <c r="AG56" s="102">
        <f t="shared" si="46"/>
        <v>2.1345795263317191</v>
      </c>
      <c r="AH56" s="100">
        <f t="shared" si="47"/>
        <v>42.065390276789707</v>
      </c>
      <c r="AI56" s="104">
        <f t="shared" si="48"/>
        <v>0.20329328822206849</v>
      </c>
      <c r="AJ56" s="100">
        <f t="shared" si="49"/>
        <v>11.90139577633172</v>
      </c>
      <c r="AK56" s="100">
        <f t="shared" si="50"/>
        <v>234.53652206168974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5</v>
      </c>
      <c r="AN56" s="100">
        <f t="shared" si="51"/>
        <v>4.5179876513317199</v>
      </c>
      <c r="AO56" s="100">
        <f t="shared" si="52"/>
        <v>0.21</v>
      </c>
      <c r="AP56" s="100">
        <f t="shared" si="53"/>
        <v>0.26</v>
      </c>
      <c r="AQ56" s="212">
        <f>IFERROR(INDEX(AUXILIAR!$AG$3:$AG$28,MATCH(G56,AUXILIAR!$AH$3:$AH$28,1))*AM56,0)</f>
        <v>0.9134081249999999</v>
      </c>
      <c r="AR56" s="105">
        <f>IF(R56="GUILHOTINA",IFERROR(VLOOKUP(G56,AUXILIAR!$Q:$S,3,FALSE),""),IF(R56="LASER",IFERROR(VLOOKUP(G56,AUXILIAR!$E:$I,3,FALSE),""),IF(R56="PLASMA",IFERROR(VLOOKUP(G56,AUXILIAR!$K:$O,3,FALSE),""),"")))</f>
        <v>12750</v>
      </c>
      <c r="AS56" s="89">
        <f t="shared" si="54"/>
        <v>418400</v>
      </c>
      <c r="AT56" s="89">
        <f t="shared" si="55"/>
        <v>836800</v>
      </c>
      <c r="AU56" s="89">
        <f t="shared" si="56"/>
        <v>9168</v>
      </c>
      <c r="AV56" s="89">
        <f t="shared" si="57"/>
        <v>4584</v>
      </c>
      <c r="AW56" s="89">
        <f t="shared" si="58"/>
        <v>9168</v>
      </c>
      <c r="AX56" s="89">
        <f>IFERROR(
IF($R56="LASER",
   VLOOKUP($G56,AUXILIAR!$E$3:$G$27,3,FALSE),
IF($R56="PLASMA",
   VLOOKUP($G56,AUXILIAR!$K$6:$M$28,3,FALSE),
0)),
0)</f>
        <v>12750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0.85</v>
      </c>
      <c r="BE56" s="89">
        <f t="shared" si="30"/>
        <v>10837.5</v>
      </c>
      <c r="BF56" s="91">
        <f t="shared" si="31"/>
        <v>1.5000000000000001E-2</v>
      </c>
      <c r="BG56" s="91">
        <f t="shared" si="32"/>
        <v>3.3333333333333333E-2</v>
      </c>
      <c r="BH56" s="201">
        <f t="shared" si="33"/>
        <v>0.89428489042675896</v>
      </c>
    </row>
    <row r="57" spans="1:60" x14ac:dyDescent="0.35">
      <c r="A57" s="85">
        <v>3253</v>
      </c>
      <c r="B57" s="85" t="s">
        <v>244</v>
      </c>
      <c r="C57" s="85">
        <v>2</v>
      </c>
      <c r="D57" s="85" t="s">
        <v>44</v>
      </c>
      <c r="E57" s="86"/>
      <c r="F57" s="86"/>
      <c r="G57" s="86">
        <v>3</v>
      </c>
      <c r="H57" s="87">
        <v>2271</v>
      </c>
      <c r="I57" s="87">
        <v>200</v>
      </c>
      <c r="J57" s="85"/>
      <c r="K57" s="99">
        <v>1200</v>
      </c>
      <c r="L57" s="90">
        <f t="shared" si="35"/>
        <v>10.69641</v>
      </c>
      <c r="M57" s="198">
        <f t="shared" si="36"/>
        <v>21.39282</v>
      </c>
      <c r="N57" s="91">
        <f t="shared" si="37"/>
        <v>0.77521568627450976</v>
      </c>
      <c r="O57" s="211">
        <f>IF(L57="",0,IFERROR(IF($M$2="ESTUDO",BH57,N57)+INDEX(AUXILIAR!$AO$3:$AO$8,MATCH(L57,{0;2;5;10;20;50},1))*1440,IF(M57="ESTUDO",BH57,N57)))</f>
        <v>13.877018454440599</v>
      </c>
      <c r="P57" s="100">
        <f t="shared" si="38"/>
        <v>112.2975</v>
      </c>
      <c r="Q57" s="100">
        <f t="shared" si="39"/>
        <v>224.595</v>
      </c>
      <c r="R57" s="92" t="s">
        <v>0</v>
      </c>
      <c r="S57" s="88">
        <f t="shared" si="40"/>
        <v>10.5</v>
      </c>
      <c r="T57" s="100">
        <f>((AM57/(1+AUXILIAR!$BJ$4))-((AM57/(1+AUXILIAR!$BJ$4))*AUXILIAR!$BK$4))-(((AM57/(1+AUXILIAR!$BJ$4))-((AM57/(1+AUXILIAR!$BJ$4))*AUXILIAR!$BK$4))*((AUXILIAR!$BL$4+AUXILIAR!$BM$4)))</f>
        <v>3.867312348668281</v>
      </c>
      <c r="U57" s="100">
        <f>((S57/(1+AUXILIAR!$BJ$7))-((S57/(1+AUXILIAR!$BJ$7))*AUXILIAR!$BK$7))-(((S57/(1+AUXILIAR!$BJ$7))-((S57/(1+AUXILIAR!$BJ$7))*AUXILIAR!$BK$7))*((AUXILIAR!$BL$7+AUXILIAR!$BM$7)))</f>
        <v>8.3853000000000009</v>
      </c>
      <c r="V57" s="101">
        <f>AM57-(AM57/(1+AUXILIAR!$BJ$4))</f>
        <v>0.15738498789346256</v>
      </c>
      <c r="W57" s="102">
        <f>(AM57-V57)*AUXILIAR!$BK$4</f>
        <v>0.58111380145278446</v>
      </c>
      <c r="X57" s="102">
        <f>(AM57-V57-W57)*(AUXILIAR!$BL$4+AUXILIAR!$BM$4)</f>
        <v>0.39418886198547215</v>
      </c>
      <c r="Y57" s="102">
        <f>X57-(X57/(1+AUXILIAR!$BJ$7))</f>
        <v>0</v>
      </c>
      <c r="Z57" s="102">
        <f>(S57-Y57)*AUXILIAR!$BK$7</f>
        <v>1.26</v>
      </c>
      <c r="AA57" s="102">
        <f>(S57-Y57-Z57)*(AUXILIAR!$BL$7+AUXILIAR!$BM$7)</f>
        <v>0.85470000000000002</v>
      </c>
      <c r="AB57" s="103">
        <f t="shared" si="41"/>
        <v>0.15738498789346256</v>
      </c>
      <c r="AC57" s="103">
        <f t="shared" si="42"/>
        <v>-0.67888619854721555</v>
      </c>
      <c r="AD57" s="103">
        <f t="shared" si="43"/>
        <v>-0.46051113801452787</v>
      </c>
      <c r="AE57" s="103">
        <f t="shared" si="44"/>
        <v>-0.9820123486682808</v>
      </c>
      <c r="AF57" s="103">
        <f t="shared" si="45"/>
        <v>224.62461000000002</v>
      </c>
      <c r="AG57" s="102">
        <f t="shared" si="46"/>
        <v>2.1345795263317191</v>
      </c>
      <c r="AH57" s="100">
        <f t="shared" si="47"/>
        <v>45.664675582499726</v>
      </c>
      <c r="AI57" s="104">
        <f t="shared" si="48"/>
        <v>0.20329328822206849</v>
      </c>
      <c r="AJ57" s="100">
        <f t="shared" si="49"/>
        <v>11.90139577633172</v>
      </c>
      <c r="AK57" s="100">
        <f t="shared" si="50"/>
        <v>254.60441759182476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5</v>
      </c>
      <c r="AN57" s="100">
        <f t="shared" si="51"/>
        <v>4.5179876513317199</v>
      </c>
      <c r="AO57" s="100">
        <f t="shared" si="52"/>
        <v>0.21</v>
      </c>
      <c r="AP57" s="100">
        <f t="shared" si="53"/>
        <v>0.26</v>
      </c>
      <c r="AQ57" s="212">
        <f>IFERROR(INDEX(AUXILIAR!$AG$3:$AG$28,MATCH(G57,AUXILIAR!$AH$3:$AH$28,1))*AM57,0)</f>
        <v>0.9134081249999999</v>
      </c>
      <c r="AR57" s="105">
        <f>IF(R57="GUILHOTINA",IFERROR(VLOOKUP(G57,AUXILIAR!$Q:$S,3,FALSE),""),IF(R57="LASER",IFERROR(VLOOKUP(G57,AUXILIAR!$E:$I,3,FALSE),""),IF(R57="PLASMA",IFERROR(VLOOKUP(G57,AUXILIAR!$K:$O,3,FALSE),""),"")))</f>
        <v>12750</v>
      </c>
      <c r="AS57" s="89">
        <f t="shared" si="54"/>
        <v>454200</v>
      </c>
      <c r="AT57" s="89">
        <f t="shared" si="55"/>
        <v>908400</v>
      </c>
      <c r="AU57" s="89">
        <f t="shared" si="56"/>
        <v>9884</v>
      </c>
      <c r="AV57" s="89">
        <f t="shared" si="57"/>
        <v>4942</v>
      </c>
      <c r="AW57" s="89">
        <f t="shared" si="58"/>
        <v>9884</v>
      </c>
      <c r="AX57" s="89">
        <f>IFERROR(
IF($R57="LASER",
   VLOOKUP($G57,AUXILIAR!$E$3:$G$27,3,FALSE),
IF($R57="PLASMA",
   VLOOKUP($G57,AUXILIAR!$K$6:$M$28,3,FALSE),
0)),
0)</f>
        <v>12750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0.85</v>
      </c>
      <c r="BE57" s="89">
        <f t="shared" si="30"/>
        <v>10837.5</v>
      </c>
      <c r="BF57" s="91">
        <f t="shared" si="31"/>
        <v>1.5000000000000001E-2</v>
      </c>
      <c r="BG57" s="91">
        <f t="shared" si="32"/>
        <v>3.3333333333333333E-2</v>
      </c>
      <c r="BH57" s="201">
        <f t="shared" si="33"/>
        <v>0.96035178777393315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F21" sqref="F21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45" t="s">
        <v>172</v>
      </c>
      <c r="AJ1" s="246"/>
      <c r="AK1" s="247"/>
      <c r="AM1" s="245" t="s">
        <v>172</v>
      </c>
      <c r="AN1" s="246"/>
      <c r="AO1" s="247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48" t="s">
        <v>176</v>
      </c>
      <c r="AN2" s="249"/>
      <c r="AO2" s="250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200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1</v>
      </c>
      <c r="AJ11" s="95">
        <f>IF(OR(AH11="",AI11=0),0,IF(SUMIFS(PEÇAS!$AT$14:$AT$1001,PEÇAS!$G$14:$G$1001,AH11)=0,0,ROUNDUP(SUMIFS(PEÇAS!$AT$14:$AT$1001,PEÇAS!$G$14:$G$1001,AH11)/(1200*3000),0)*20))</f>
        <v>80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1</v>
      </c>
      <c r="AJ17" s="95">
        <f>IF(OR(AH17="",AI17=0),0,IF(SUMIFS(PEÇAS!$AT$14:$AT$1001,PEÇAS!$G$14:$G$1001,AH17)=0,0,ROUNDUP(SUMIFS(PEÇAS!$AT$14:$AT$1001,PEÇAS!$G$14:$G$1001,AH17)/(1200*3000),0)*20))</f>
        <v>40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1</v>
      </c>
      <c r="AJ18" s="95">
        <f>IF(OR(AH18="",AI18=0),0,IF(SUMIFS(PEÇAS!$AT$14:$AT$1001,PEÇAS!$G$14:$G$1001,AH18)=0,0,ROUNDUP(SUMIFS(PEÇAS!$AT$14:$AT$1001,PEÇAS!$G$14:$G$1001,AH18)/(1200*3000),0)*20))</f>
        <v>20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1</v>
      </c>
      <c r="AJ19" s="95">
        <f>IF(OR(AH19="",AI19=0),0,IF(SUMIFS(PEÇAS!$AT$14:$AT$1001,PEÇAS!$G$14:$G$1001,AH19)=0,0,ROUNDUP(SUMIFS(PEÇAS!$AT$14:$AT$1001,PEÇAS!$G$14:$G$1001,AH19)/(1200*3000),0)*20))</f>
        <v>20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1</v>
      </c>
      <c r="AJ20" s="95">
        <f>IF(OR(AH20="",AI20=0),0,IF(SUMIFS(PEÇAS!$AT$14:$AT$1001,PEÇAS!$G$14:$G$1001,AH20)=0,0,ROUNDUP(SUMIFS(PEÇAS!$AT$14:$AT$1001,PEÇAS!$G$14:$G$1001,AH20)/(1200*3000),0)*20))</f>
        <v>20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1</v>
      </c>
      <c r="AJ21" s="95">
        <f>IF(OR(AH21="",AI21=0),0,IF(SUMIFS(PEÇAS!$AT$14:$AT$1001,PEÇAS!$G$14:$G$1001,AH21)=0,0,ROUNDUP(SUMIFS(PEÇAS!$AT$14:$AT$1001,PEÇAS!$G$14:$G$1001,AH21)/(1200*3000),0)*20))</f>
        <v>20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topLeftCell="A10" workbookViewId="0">
      <selection activeCell="B32" sqref="B32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51" t="s">
        <v>56</v>
      </c>
      <c r="C2" s="252"/>
      <c r="D2" s="252"/>
      <c r="E2" s="252"/>
      <c r="F2" s="252"/>
      <c r="G2" s="253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PEÇAS</vt:lpstr>
      <vt:lpstr>RESUMOS</vt:lpstr>
      <vt:lpstr>AUXILIAR</vt:lpstr>
      <vt:lpstr>SIMULADOR-IMPOSTO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2026-04-10T19:28:52Z</dcterms:modified>
</cp:coreProperties>
</file>