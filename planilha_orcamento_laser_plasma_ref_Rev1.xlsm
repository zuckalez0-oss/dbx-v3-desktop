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 activeTab="3"/>
  </bookViews>
  <sheets>
    <sheet name="PEÇAS" sheetId="1" r:id="rId1"/>
    <sheet name="AUXILIAR" sheetId="2" r:id="rId2"/>
    <sheet name="SIMULADOR-IMPOSTO" sheetId="3" r:id="rId3"/>
    <sheet name="relação-de-peças-1-3346" sheetId="11" r:id="rId4"/>
  </sheets>
  <definedNames>
    <definedName name="_xlnm.Print_Area" localSheetId="3">'relação-de-peças-1-3346'!$A$1:$R$14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4" i="1" l="1"/>
  <c r="V14" i="1"/>
  <c r="AM4" i="2" l="1"/>
  <c r="AM5" i="2" s="1"/>
  <c r="AM6" i="2" s="1"/>
  <c r="AM7" i="2" s="1"/>
  <c r="AM8" i="2" s="1"/>
  <c r="AI28" i="2" l="1"/>
  <c r="AJ28" i="2" s="1"/>
  <c r="AI4" i="2"/>
  <c r="AJ4" i="2" s="1"/>
  <c r="AI5" i="2"/>
  <c r="AJ5" i="2" s="1"/>
  <c r="AI6" i="2"/>
  <c r="AJ6" i="2" s="1"/>
  <c r="AI7" i="2"/>
  <c r="AJ7" i="2" s="1"/>
  <c r="AI8" i="2"/>
  <c r="AJ8" i="2" s="1"/>
  <c r="AI9" i="2"/>
  <c r="AJ9" i="2" s="1"/>
  <c r="AI10" i="2"/>
  <c r="AJ10" i="2" s="1"/>
  <c r="AI11" i="2"/>
  <c r="AJ11" i="2" s="1"/>
  <c r="AI12" i="2"/>
  <c r="AJ12" i="2" s="1"/>
  <c r="AI13" i="2"/>
  <c r="AJ13" i="2" s="1"/>
  <c r="AI14" i="2"/>
  <c r="AJ14" i="2" s="1"/>
  <c r="AI15" i="2"/>
  <c r="AJ15" i="2" s="1"/>
  <c r="AI16" i="2"/>
  <c r="AJ16" i="2" s="1"/>
  <c r="AI17" i="2"/>
  <c r="AJ17" i="2" s="1"/>
  <c r="AI18" i="2"/>
  <c r="AI19" i="2"/>
  <c r="AI20" i="2"/>
  <c r="AI21" i="2"/>
  <c r="AI22" i="2"/>
  <c r="AI23" i="2"/>
  <c r="AJ23" i="2" s="1"/>
  <c r="AI24" i="2"/>
  <c r="AJ24" i="2" s="1"/>
  <c r="AI25" i="2"/>
  <c r="AJ25" i="2" s="1"/>
  <c r="AI26" i="2"/>
  <c r="AJ26" i="2" s="1"/>
  <c r="AI27" i="2"/>
  <c r="AJ27" i="2" s="1"/>
  <c r="AI3" i="2"/>
  <c r="AJ3" i="2" s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H4" i="1" l="1"/>
  <c r="AJ20" i="1" l="1"/>
  <c r="S15" i="1"/>
  <c r="AO15" i="1" s="1"/>
  <c r="AL15" i="1"/>
  <c r="AM15" i="1"/>
  <c r="AQ15" i="1" s="1"/>
  <c r="AP15" i="1"/>
  <c r="AR15" i="1"/>
  <c r="AS15" i="1"/>
  <c r="L15" i="1" s="1"/>
  <c r="AU15" i="1"/>
  <c r="AV15" i="1" s="1"/>
  <c r="S16" i="1"/>
  <c r="AO16" i="1" s="1"/>
  <c r="AL16" i="1"/>
  <c r="AM16" i="1"/>
  <c r="AP16" i="1"/>
  <c r="AR16" i="1"/>
  <c r="AS16" i="1"/>
  <c r="AT16" i="1" s="1"/>
  <c r="AU16" i="1"/>
  <c r="AW16" i="1" s="1"/>
  <c r="AV16" i="1"/>
  <c r="S17" i="1"/>
  <c r="U17" i="1" s="1"/>
  <c r="AL17" i="1"/>
  <c r="AP17" i="1"/>
  <c r="AR17" i="1"/>
  <c r="AS17" i="1"/>
  <c r="AT17" i="1" s="1"/>
  <c r="AU17" i="1"/>
  <c r="AV17" i="1" s="1"/>
  <c r="S18" i="1"/>
  <c r="AO18" i="1" s="1"/>
  <c r="U18" i="1"/>
  <c r="AL18" i="1"/>
  <c r="AP18" i="1"/>
  <c r="AR18" i="1"/>
  <c r="AS18" i="1"/>
  <c r="L18" i="1" s="1"/>
  <c r="AU18" i="1"/>
  <c r="AV18" i="1" s="1"/>
  <c r="S19" i="1"/>
  <c r="AO19" i="1" s="1"/>
  <c r="AL19" i="1"/>
  <c r="AP19" i="1"/>
  <c r="AR19" i="1"/>
  <c r="AS19" i="1"/>
  <c r="L19" i="1" s="1"/>
  <c r="AU19" i="1"/>
  <c r="AV19" i="1" s="1"/>
  <c r="S20" i="1"/>
  <c r="AL20" i="1"/>
  <c r="AP20" i="1"/>
  <c r="AR20" i="1"/>
  <c r="AS20" i="1"/>
  <c r="L20" i="1" s="1"/>
  <c r="AU20" i="1"/>
  <c r="AV20" i="1" s="1"/>
  <c r="S21" i="1"/>
  <c r="AJ21" i="1"/>
  <c r="AL21" i="1"/>
  <c r="AP21" i="1"/>
  <c r="AR21" i="1"/>
  <c r="AS21" i="1"/>
  <c r="AT21" i="1" s="1"/>
  <c r="AU21" i="1"/>
  <c r="AV21" i="1" s="1"/>
  <c r="S22" i="1"/>
  <c r="AO22" i="1" s="1"/>
  <c r="AJ22" i="1"/>
  <c r="AL22" i="1"/>
  <c r="AP22" i="1"/>
  <c r="AR22" i="1"/>
  <c r="AS22" i="1"/>
  <c r="AU22" i="1"/>
  <c r="AV22" i="1" s="1"/>
  <c r="S23" i="1"/>
  <c r="U23" i="1" s="1"/>
  <c r="AJ23" i="1"/>
  <c r="AL23" i="1"/>
  <c r="AP23" i="1"/>
  <c r="AR23" i="1"/>
  <c r="AS23" i="1"/>
  <c r="L23" i="1" s="1"/>
  <c r="AU23" i="1"/>
  <c r="AV23" i="1" s="1"/>
  <c r="S24" i="1"/>
  <c r="AJ24" i="1"/>
  <c r="AL24" i="1"/>
  <c r="AP24" i="1"/>
  <c r="AR24" i="1"/>
  <c r="AS24" i="1"/>
  <c r="L24" i="1" s="1"/>
  <c r="AU24" i="1"/>
  <c r="S25" i="1"/>
  <c r="U25" i="1" s="1"/>
  <c r="AJ25" i="1"/>
  <c r="AL25" i="1"/>
  <c r="AP25" i="1"/>
  <c r="AR25" i="1"/>
  <c r="AS25" i="1"/>
  <c r="L25" i="1" s="1"/>
  <c r="AU25" i="1"/>
  <c r="AW25" i="1" s="1"/>
  <c r="S26" i="1"/>
  <c r="U26" i="1" s="1"/>
  <c r="AJ26" i="1"/>
  <c r="AL26" i="1"/>
  <c r="AP26" i="1"/>
  <c r="AR26" i="1"/>
  <c r="AS26" i="1"/>
  <c r="L26" i="1" s="1"/>
  <c r="AU26" i="1"/>
  <c r="AV26" i="1" s="1"/>
  <c r="S27" i="1"/>
  <c r="AO27" i="1" s="1"/>
  <c r="AJ27" i="1"/>
  <c r="AL27" i="1"/>
  <c r="AP27" i="1"/>
  <c r="AR27" i="1"/>
  <c r="AS27" i="1"/>
  <c r="L27" i="1" s="1"/>
  <c r="AU27" i="1"/>
  <c r="AV27" i="1" s="1"/>
  <c r="S28" i="1"/>
  <c r="AO28" i="1" s="1"/>
  <c r="AJ28" i="1"/>
  <c r="AL28" i="1"/>
  <c r="AP28" i="1"/>
  <c r="AR28" i="1"/>
  <c r="AS28" i="1"/>
  <c r="AT28" i="1" s="1"/>
  <c r="AU28" i="1"/>
  <c r="AW28" i="1" s="1"/>
  <c r="S29" i="1"/>
  <c r="AO29" i="1" s="1"/>
  <c r="AJ29" i="1"/>
  <c r="AL29" i="1"/>
  <c r="AP29" i="1"/>
  <c r="AR29" i="1"/>
  <c r="AS29" i="1"/>
  <c r="AT29" i="1" s="1"/>
  <c r="AU29" i="1"/>
  <c r="AV29" i="1" s="1"/>
  <c r="S30" i="1"/>
  <c r="AO30" i="1" s="1"/>
  <c r="AJ30" i="1"/>
  <c r="AL30" i="1"/>
  <c r="AP30" i="1"/>
  <c r="AR30" i="1"/>
  <c r="AS30" i="1"/>
  <c r="AT30" i="1" s="1"/>
  <c r="AU30" i="1"/>
  <c r="AV30" i="1" s="1"/>
  <c r="S31" i="1"/>
  <c r="U31" i="1" s="1"/>
  <c r="AJ31" i="1"/>
  <c r="AL31" i="1"/>
  <c r="AP31" i="1"/>
  <c r="AR31" i="1"/>
  <c r="AS31" i="1"/>
  <c r="AT31" i="1" s="1"/>
  <c r="AU31" i="1"/>
  <c r="AW31" i="1" s="1"/>
  <c r="S32" i="1"/>
  <c r="AJ32" i="1"/>
  <c r="AL32" i="1"/>
  <c r="AP32" i="1"/>
  <c r="AR32" i="1"/>
  <c r="AS32" i="1"/>
  <c r="L32" i="1" s="1"/>
  <c r="AU32" i="1"/>
  <c r="AV32" i="1" s="1"/>
  <c r="S33" i="1"/>
  <c r="AJ33" i="1"/>
  <c r="AL33" i="1"/>
  <c r="AP33" i="1"/>
  <c r="AR33" i="1"/>
  <c r="AS33" i="1"/>
  <c r="AT33" i="1" s="1"/>
  <c r="AU33" i="1"/>
  <c r="AV33" i="1" s="1"/>
  <c r="S34" i="1"/>
  <c r="AO34" i="1" s="1"/>
  <c r="AJ34" i="1"/>
  <c r="AL34" i="1"/>
  <c r="AP34" i="1"/>
  <c r="AR34" i="1"/>
  <c r="AS34" i="1"/>
  <c r="AU34" i="1"/>
  <c r="AW34" i="1" s="1"/>
  <c r="S35" i="1"/>
  <c r="U35" i="1" s="1"/>
  <c r="AJ35" i="1"/>
  <c r="AL35" i="1"/>
  <c r="AP35" i="1"/>
  <c r="AR35" i="1"/>
  <c r="AS35" i="1"/>
  <c r="L35" i="1" s="1"/>
  <c r="AT35" i="1"/>
  <c r="AU35" i="1"/>
  <c r="AV35" i="1" s="1"/>
  <c r="S36" i="1"/>
  <c r="AJ36" i="1"/>
  <c r="AL36" i="1"/>
  <c r="AP36" i="1"/>
  <c r="AR36" i="1"/>
  <c r="AS36" i="1"/>
  <c r="L36" i="1" s="1"/>
  <c r="AU36" i="1"/>
  <c r="S37" i="1"/>
  <c r="AO37" i="1" s="1"/>
  <c r="AJ37" i="1"/>
  <c r="AL37" i="1"/>
  <c r="AP37" i="1"/>
  <c r="AR37" i="1"/>
  <c r="AS37" i="1"/>
  <c r="L37" i="1" s="1"/>
  <c r="AU37" i="1"/>
  <c r="AW37" i="1" s="1"/>
  <c r="S38" i="1"/>
  <c r="U38" i="1" s="1"/>
  <c r="AJ38" i="1"/>
  <c r="AL38" i="1"/>
  <c r="AP38" i="1"/>
  <c r="AR38" i="1"/>
  <c r="AS38" i="1"/>
  <c r="L38" i="1" s="1"/>
  <c r="AU38" i="1"/>
  <c r="AV38" i="1" s="1"/>
  <c r="S39" i="1"/>
  <c r="U39" i="1" s="1"/>
  <c r="AJ39" i="1"/>
  <c r="AL39" i="1"/>
  <c r="AP39" i="1"/>
  <c r="AR39" i="1"/>
  <c r="AS39" i="1"/>
  <c r="L39" i="1" s="1"/>
  <c r="AU39" i="1"/>
  <c r="AV39" i="1" s="1"/>
  <c r="S40" i="1"/>
  <c r="AO40" i="1" s="1"/>
  <c r="AJ40" i="1"/>
  <c r="AL40" i="1"/>
  <c r="AP40" i="1"/>
  <c r="AR40" i="1"/>
  <c r="AS40" i="1"/>
  <c r="AT40" i="1" s="1"/>
  <c r="AU40" i="1"/>
  <c r="AW40" i="1" s="1"/>
  <c r="S41" i="1"/>
  <c r="AO41" i="1" s="1"/>
  <c r="AJ41" i="1"/>
  <c r="AL41" i="1"/>
  <c r="AP41" i="1"/>
  <c r="AR41" i="1"/>
  <c r="AS41" i="1"/>
  <c r="AT41" i="1" s="1"/>
  <c r="AU41" i="1"/>
  <c r="AV41" i="1" s="1"/>
  <c r="S42" i="1"/>
  <c r="U42" i="1" s="1"/>
  <c r="AJ42" i="1"/>
  <c r="AL42" i="1"/>
  <c r="AP42" i="1"/>
  <c r="AR42" i="1"/>
  <c r="AS42" i="1"/>
  <c r="AT42" i="1" s="1"/>
  <c r="AU42" i="1"/>
  <c r="AV42" i="1" s="1"/>
  <c r="S43" i="1"/>
  <c r="AO43" i="1" s="1"/>
  <c r="AJ43" i="1"/>
  <c r="AL43" i="1"/>
  <c r="AP43" i="1"/>
  <c r="AR43" i="1"/>
  <c r="AS43" i="1"/>
  <c r="AT43" i="1" s="1"/>
  <c r="AU43" i="1"/>
  <c r="AW43" i="1" s="1"/>
  <c r="S44" i="1"/>
  <c r="AJ44" i="1"/>
  <c r="AL44" i="1"/>
  <c r="AP44" i="1"/>
  <c r="AR44" i="1"/>
  <c r="AS44" i="1"/>
  <c r="AT44" i="1" s="1"/>
  <c r="AU44" i="1"/>
  <c r="AV44" i="1" s="1"/>
  <c r="S45" i="1"/>
  <c r="AO45" i="1" s="1"/>
  <c r="AJ45" i="1"/>
  <c r="AL45" i="1"/>
  <c r="AP45" i="1"/>
  <c r="AR45" i="1"/>
  <c r="AS45" i="1"/>
  <c r="L45" i="1" s="1"/>
  <c r="AU45" i="1"/>
  <c r="AV45" i="1" s="1"/>
  <c r="S46" i="1"/>
  <c r="U46" i="1" s="1"/>
  <c r="AJ46" i="1"/>
  <c r="AL46" i="1"/>
  <c r="AO46" i="1"/>
  <c r="AP46" i="1"/>
  <c r="AR46" i="1"/>
  <c r="AS46" i="1"/>
  <c r="AU46" i="1"/>
  <c r="AV46" i="1" s="1"/>
  <c r="S47" i="1"/>
  <c r="U47" i="1" s="1"/>
  <c r="AJ47" i="1"/>
  <c r="AL47" i="1"/>
  <c r="AP47" i="1"/>
  <c r="AR47" i="1"/>
  <c r="AS47" i="1"/>
  <c r="L47" i="1" s="1"/>
  <c r="AU47" i="1"/>
  <c r="AW47" i="1" s="1"/>
  <c r="AV47" i="1"/>
  <c r="S48" i="1"/>
  <c r="AJ48" i="1"/>
  <c r="AL48" i="1"/>
  <c r="AP48" i="1"/>
  <c r="AR48" i="1"/>
  <c r="AS48" i="1"/>
  <c r="L48" i="1" s="1"/>
  <c r="AU48" i="1"/>
  <c r="S49" i="1"/>
  <c r="U49" i="1" s="1"/>
  <c r="AJ49" i="1"/>
  <c r="AL49" i="1"/>
  <c r="AP49" i="1"/>
  <c r="AR49" i="1"/>
  <c r="AS49" i="1"/>
  <c r="AU49" i="1"/>
  <c r="AW49" i="1" s="1"/>
  <c r="S50" i="1"/>
  <c r="AO50" i="1" s="1"/>
  <c r="AJ50" i="1"/>
  <c r="AL50" i="1"/>
  <c r="AP50" i="1"/>
  <c r="AR50" i="1"/>
  <c r="AS50" i="1"/>
  <c r="L50" i="1" s="1"/>
  <c r="AU50" i="1"/>
  <c r="AV50" i="1" s="1"/>
  <c r="S51" i="1"/>
  <c r="AO51" i="1" s="1"/>
  <c r="AJ51" i="1"/>
  <c r="AL51" i="1"/>
  <c r="AP51" i="1"/>
  <c r="AR51" i="1"/>
  <c r="AS51" i="1"/>
  <c r="AT51" i="1" s="1"/>
  <c r="AU51" i="1"/>
  <c r="AV51" i="1" s="1"/>
  <c r="S52" i="1"/>
  <c r="AO52" i="1" s="1"/>
  <c r="AJ52" i="1"/>
  <c r="AL52" i="1"/>
  <c r="AP52" i="1"/>
  <c r="AR52" i="1"/>
  <c r="AS52" i="1"/>
  <c r="AT52" i="1" s="1"/>
  <c r="AU52" i="1"/>
  <c r="AV52" i="1" s="1"/>
  <c r="S53" i="1"/>
  <c r="AO53" i="1" s="1"/>
  <c r="AJ53" i="1"/>
  <c r="AL53" i="1"/>
  <c r="AP53" i="1"/>
  <c r="AR53" i="1"/>
  <c r="AS53" i="1"/>
  <c r="AT53" i="1" s="1"/>
  <c r="AU53" i="1"/>
  <c r="AW53" i="1" s="1"/>
  <c r="S54" i="1"/>
  <c r="AJ54" i="1"/>
  <c r="AL54" i="1"/>
  <c r="AP54" i="1"/>
  <c r="AR54" i="1"/>
  <c r="AS54" i="1"/>
  <c r="AT54" i="1" s="1"/>
  <c r="AU54" i="1"/>
  <c r="AV54" i="1" s="1"/>
  <c r="S14" i="1"/>
  <c r="U51" i="1" l="1"/>
  <c r="U28" i="1"/>
  <c r="L29" i="1"/>
  <c r="L44" i="1"/>
  <c r="M44" i="1" s="1"/>
  <c r="L16" i="1"/>
  <c r="AW15" i="1"/>
  <c r="L17" i="1"/>
  <c r="M17" i="1" s="1"/>
  <c r="AT18" i="1"/>
  <c r="M45" i="1"/>
  <c r="Q45" i="1" s="1"/>
  <c r="P45" i="1" s="1"/>
  <c r="O45" i="1"/>
  <c r="AW30" i="1"/>
  <c r="M27" i="1"/>
  <c r="AK27" i="1" s="1"/>
  <c r="O27" i="1"/>
  <c r="M29" i="1"/>
  <c r="AK29" i="1" s="1"/>
  <c r="O29" i="1"/>
  <c r="M25" i="1"/>
  <c r="AK25" i="1" s="1"/>
  <c r="O25" i="1"/>
  <c r="M20" i="1"/>
  <c r="Q20" i="1" s="1"/>
  <c r="P20" i="1" s="1"/>
  <c r="O20" i="1"/>
  <c r="M16" i="1"/>
  <c r="AF16" i="1" s="1"/>
  <c r="M38" i="1"/>
  <c r="Q38" i="1" s="1"/>
  <c r="P38" i="1" s="1"/>
  <c r="O38" i="1"/>
  <c r="M18" i="1"/>
  <c r="Q18" i="1" s="1"/>
  <c r="P18" i="1" s="1"/>
  <c r="M23" i="1"/>
  <c r="Q23" i="1" s="1"/>
  <c r="P23" i="1" s="1"/>
  <c r="O23" i="1"/>
  <c r="M15" i="1"/>
  <c r="Q15" i="1" s="1"/>
  <c r="P15" i="1" s="1"/>
  <c r="O15" i="1"/>
  <c r="M36" i="1"/>
  <c r="AK36" i="1" s="1"/>
  <c r="O36" i="1"/>
  <c r="M48" i="1"/>
  <c r="AF48" i="1" s="1"/>
  <c r="O48" i="1"/>
  <c r="M26" i="1"/>
  <c r="AK26" i="1" s="1"/>
  <c r="O26" i="1"/>
  <c r="O44" i="1"/>
  <c r="M47" i="1"/>
  <c r="Q47" i="1" s="1"/>
  <c r="P47" i="1" s="1"/>
  <c r="O47" i="1"/>
  <c r="M39" i="1"/>
  <c r="Q39" i="1" s="1"/>
  <c r="P39" i="1" s="1"/>
  <c r="O39" i="1"/>
  <c r="M19" i="1"/>
  <c r="Q19" i="1" s="1"/>
  <c r="P19" i="1" s="1"/>
  <c r="O19" i="1"/>
  <c r="M24" i="1"/>
  <c r="O24" i="1"/>
  <c r="M35" i="1"/>
  <c r="Q35" i="1" s="1"/>
  <c r="P35" i="1" s="1"/>
  <c r="O35" i="1"/>
  <c r="M50" i="1"/>
  <c r="O50" i="1"/>
  <c r="U41" i="1"/>
  <c r="M37" i="1"/>
  <c r="AK37" i="1" s="1"/>
  <c r="O37" i="1"/>
  <c r="M32" i="1"/>
  <c r="AF32" i="1" s="1"/>
  <c r="O32" i="1"/>
  <c r="AW22" i="1"/>
  <c r="AT19" i="1"/>
  <c r="AW32" i="1"/>
  <c r="AO31" i="1"/>
  <c r="U30" i="1"/>
  <c r="AT20" i="1"/>
  <c r="U50" i="1"/>
  <c r="AW50" i="1"/>
  <c r="U37" i="1"/>
  <c r="U34" i="1"/>
  <c r="AW17" i="1"/>
  <c r="AO49" i="1"/>
  <c r="L54" i="1"/>
  <c r="L40" i="1"/>
  <c r="AW18" i="1"/>
  <c r="AW39" i="1"/>
  <c r="AW19" i="1"/>
  <c r="AW27" i="1"/>
  <c r="AO26" i="1"/>
  <c r="AK50" i="1"/>
  <c r="AW42" i="1"/>
  <c r="U40" i="1"/>
  <c r="AW38" i="1"/>
  <c r="U22" i="1"/>
  <c r="L41" i="1"/>
  <c r="AT39" i="1"/>
  <c r="AJ21" i="2"/>
  <c r="N15" i="1"/>
  <c r="AY15" i="1" s="1"/>
  <c r="AW54" i="1"/>
  <c r="U27" i="1"/>
  <c r="AJ22" i="2"/>
  <c r="N17" i="1"/>
  <c r="AY17" i="1" s="1"/>
  <c r="N16" i="1"/>
  <c r="AY16" i="1" s="1"/>
  <c r="AW41" i="1"/>
  <c r="AW26" i="1"/>
  <c r="L52" i="1"/>
  <c r="U53" i="1"/>
  <c r="AT47" i="1"/>
  <c r="AV34" i="1"/>
  <c r="AV31" i="1"/>
  <c r="N19" i="1"/>
  <c r="AY19" i="1" s="1"/>
  <c r="N18" i="1"/>
  <c r="AY18" i="1" s="1"/>
  <c r="AO17" i="1"/>
  <c r="U15" i="1"/>
  <c r="AT26" i="1"/>
  <c r="L53" i="1"/>
  <c r="L43" i="1"/>
  <c r="U16" i="1"/>
  <c r="U43" i="1"/>
  <c r="AT32" i="1"/>
  <c r="U52" i="1"/>
  <c r="AV40" i="1"/>
  <c r="AV53" i="1"/>
  <c r="AV43" i="1"/>
  <c r="AT38" i="1"/>
  <c r="L28" i="1"/>
  <c r="AT24" i="1"/>
  <c r="AW51" i="1"/>
  <c r="L51" i="1"/>
  <c r="AT48" i="1"/>
  <c r="AW44" i="1"/>
  <c r="AW35" i="1"/>
  <c r="AV25" i="1"/>
  <c r="AV49" i="1"/>
  <c r="AO39" i="1"/>
  <c r="AW29" i="1"/>
  <c r="AV28" i="1"/>
  <c r="AT27" i="1"/>
  <c r="AO42" i="1"/>
  <c r="AO38" i="1"/>
  <c r="L31" i="1"/>
  <c r="AT45" i="1"/>
  <c r="AK24" i="1"/>
  <c r="AK38" i="1"/>
  <c r="AT36" i="1"/>
  <c r="AW23" i="1"/>
  <c r="AK20" i="1"/>
  <c r="AF18" i="1"/>
  <c r="AT22" i="1"/>
  <c r="L22" i="1"/>
  <c r="U32" i="1"/>
  <c r="AO32" i="1"/>
  <c r="AO54" i="1"/>
  <c r="AO47" i="1"/>
  <c r="AF47" i="1"/>
  <c r="AK35" i="1"/>
  <c r="AT34" i="1"/>
  <c r="L34" i="1"/>
  <c r="AW52" i="1"/>
  <c r="AT50" i="1"/>
  <c r="AV48" i="1"/>
  <c r="AW48" i="1"/>
  <c r="U33" i="1"/>
  <c r="AO33" i="1"/>
  <c r="Q27" i="1"/>
  <c r="P27" i="1" s="1"/>
  <c r="AF27" i="1"/>
  <c r="Q29" i="1"/>
  <c r="P29" i="1" s="1"/>
  <c r="AQ16" i="1"/>
  <c r="T16" i="1"/>
  <c r="V16" i="1"/>
  <c r="W16" i="1" s="1"/>
  <c r="U45" i="1"/>
  <c r="AV24" i="1"/>
  <c r="AW24" i="1"/>
  <c r="U20" i="1"/>
  <c r="AO20" i="1"/>
  <c r="Q50" i="1"/>
  <c r="P50" i="1" s="1"/>
  <c r="AF50" i="1"/>
  <c r="U54" i="1"/>
  <c r="U44" i="1"/>
  <c r="AO44" i="1"/>
  <c r="U21" i="1"/>
  <c r="AO21" i="1"/>
  <c r="Q17" i="1"/>
  <c r="P17" i="1" s="1"/>
  <c r="AF17" i="1"/>
  <c r="L49" i="1"/>
  <c r="AT49" i="1"/>
  <c r="Q48" i="1"/>
  <c r="P48" i="1" s="1"/>
  <c r="AT46" i="1"/>
  <c r="L46" i="1"/>
  <c r="AV37" i="1"/>
  <c r="Q25" i="1"/>
  <c r="P25" i="1" s="1"/>
  <c r="AF25" i="1"/>
  <c r="Q24" i="1"/>
  <c r="P24" i="1" s="1"/>
  <c r="AF24" i="1"/>
  <c r="AT23" i="1"/>
  <c r="AV36" i="1"/>
  <c r="AW36" i="1"/>
  <c r="AK23" i="1"/>
  <c r="U48" i="1"/>
  <c r="L42" i="1"/>
  <c r="AT37" i="1"/>
  <c r="U36" i="1"/>
  <c r="L30" i="1"/>
  <c r="AT25" i="1"/>
  <c r="U24" i="1"/>
  <c r="AF23" i="1"/>
  <c r="AT15" i="1"/>
  <c r="V15" i="1"/>
  <c r="AO35" i="1"/>
  <c r="L33" i="1"/>
  <c r="AO23" i="1"/>
  <c r="L21" i="1"/>
  <c r="AO48" i="1"/>
  <c r="AO36" i="1"/>
  <c r="AO24" i="1"/>
  <c r="AW20" i="1"/>
  <c r="T15" i="1"/>
  <c r="AW45" i="1"/>
  <c r="AW33" i="1"/>
  <c r="U29" i="1"/>
  <c r="AO25" i="1"/>
  <c r="AW21" i="1"/>
  <c r="AW46" i="1"/>
  <c r="AF29" i="1"/>
  <c r="U19" i="1"/>
  <c r="AF44" i="1" l="1"/>
  <c r="Q44" i="1"/>
  <c r="P44" i="1" s="1"/>
  <c r="AK44" i="1"/>
  <c r="AK45" i="1"/>
  <c r="AF35" i="1"/>
  <c r="AF26" i="1"/>
  <c r="Q26" i="1"/>
  <c r="P26" i="1" s="1"/>
  <c r="AF38" i="1"/>
  <c r="AK48" i="1"/>
  <c r="AK47" i="1"/>
  <c r="AF45" i="1"/>
  <c r="AF15" i="1"/>
  <c r="M51" i="1"/>
  <c r="Q51" i="1" s="1"/>
  <c r="P51" i="1" s="1"/>
  <c r="O51" i="1"/>
  <c r="M30" i="1"/>
  <c r="O30" i="1"/>
  <c r="Q32" i="1"/>
  <c r="P32" i="1" s="1"/>
  <c r="O17" i="1"/>
  <c r="M22" i="1"/>
  <c r="AK22" i="1" s="1"/>
  <c r="O22" i="1"/>
  <c r="AF36" i="1"/>
  <c r="M31" i="1"/>
  <c r="AF31" i="1" s="1"/>
  <c r="O31" i="1"/>
  <c r="M28" i="1"/>
  <c r="AK28" i="1" s="1"/>
  <c r="O28" i="1"/>
  <c r="Q36" i="1"/>
  <c r="P36" i="1" s="1"/>
  <c r="M49" i="1"/>
  <c r="O49" i="1"/>
  <c r="O18" i="1"/>
  <c r="Q37" i="1"/>
  <c r="P37" i="1" s="1"/>
  <c r="AF19" i="1"/>
  <c r="M52" i="1"/>
  <c r="O52" i="1"/>
  <c r="AK32" i="1"/>
  <c r="M43" i="1"/>
  <c r="AK43" i="1" s="1"/>
  <c r="O43" i="1"/>
  <c r="M21" i="1"/>
  <c r="AK21" i="1" s="1"/>
  <c r="O21" i="1"/>
  <c r="M33" i="1"/>
  <c r="Q33" i="1" s="1"/>
  <c r="P33" i="1" s="1"/>
  <c r="O33" i="1"/>
  <c r="AF37" i="1"/>
  <c r="Q16" i="1"/>
  <c r="P16" i="1" s="1"/>
  <c r="AF39" i="1"/>
  <c r="M53" i="1"/>
  <c r="O53" i="1"/>
  <c r="M41" i="1"/>
  <c r="O41" i="1"/>
  <c r="M40" i="1"/>
  <c r="O40" i="1"/>
  <c r="AK39" i="1"/>
  <c r="M42" i="1"/>
  <c r="O42" i="1"/>
  <c r="AF20" i="1"/>
  <c r="M46" i="1"/>
  <c r="AK46" i="1" s="1"/>
  <c r="O46" i="1"/>
  <c r="M34" i="1"/>
  <c r="AK34" i="1" s="1"/>
  <c r="O34" i="1"/>
  <c r="M54" i="1"/>
  <c r="O54" i="1"/>
  <c r="O16" i="1"/>
  <c r="AN15" i="1"/>
  <c r="AJ15" i="1" s="1"/>
  <c r="AK15" i="1" s="1"/>
  <c r="AN16" i="1"/>
  <c r="AK51" i="1"/>
  <c r="AJ16" i="1"/>
  <c r="AK16" i="1" s="1"/>
  <c r="AF51" i="1"/>
  <c r="X16" i="1"/>
  <c r="Q49" i="1"/>
  <c r="P49" i="1" s="1"/>
  <c r="AF49" i="1"/>
  <c r="Q30" i="1"/>
  <c r="P30" i="1" s="1"/>
  <c r="AF30" i="1"/>
  <c r="AK30" i="1"/>
  <c r="AF21" i="1"/>
  <c r="W15" i="1"/>
  <c r="X15" i="1" s="1"/>
  <c r="Q42" i="1"/>
  <c r="P42" i="1" s="1"/>
  <c r="AF42" i="1"/>
  <c r="AK42" i="1"/>
  <c r="AK49" i="1"/>
  <c r="AF22" i="1" l="1"/>
  <c r="Q22" i="1"/>
  <c r="P22" i="1" s="1"/>
  <c r="AF34" i="1"/>
  <c r="AF53" i="1"/>
  <c r="AK53" i="1"/>
  <c r="AK31" i="1"/>
  <c r="Q41" i="1"/>
  <c r="P41" i="1" s="1"/>
  <c r="AK41" i="1"/>
  <c r="AF41" i="1"/>
  <c r="Q31" i="1"/>
  <c r="P31" i="1" s="1"/>
  <c r="Q34" i="1"/>
  <c r="P34" i="1" s="1"/>
  <c r="AF46" i="1"/>
  <c r="AK33" i="1"/>
  <c r="Q52" i="1"/>
  <c r="P52" i="1" s="1"/>
  <c r="AF52" i="1"/>
  <c r="AK52" i="1"/>
  <c r="Q46" i="1"/>
  <c r="P46" i="1" s="1"/>
  <c r="Q54" i="1"/>
  <c r="P54" i="1" s="1"/>
  <c r="AF54" i="1"/>
  <c r="AK54" i="1"/>
  <c r="Q53" i="1"/>
  <c r="P53" i="1" s="1"/>
  <c r="Q43" i="1"/>
  <c r="P43" i="1" s="1"/>
  <c r="AF33" i="1"/>
  <c r="AF43" i="1"/>
  <c r="Q21" i="1"/>
  <c r="P21" i="1" s="1"/>
  <c r="AK40" i="1"/>
  <c r="Q40" i="1"/>
  <c r="P40" i="1" s="1"/>
  <c r="AF40" i="1"/>
  <c r="Q28" i="1"/>
  <c r="P28" i="1" s="1"/>
  <c r="AF28" i="1"/>
  <c r="Y16" i="1"/>
  <c r="Y15" i="1"/>
  <c r="Z15" i="1" l="1"/>
  <c r="AC15" i="1" s="1"/>
  <c r="AM18" i="1" s="1"/>
  <c r="AB15" i="1"/>
  <c r="Z16" i="1"/>
  <c r="AC16" i="1" s="1"/>
  <c r="AM19" i="1" s="1"/>
  <c r="AQ19" i="1" s="1"/>
  <c r="AB16" i="1"/>
  <c r="T18" i="1" l="1"/>
  <c r="AN18" i="1" s="1"/>
  <c r="AA16" i="1"/>
  <c r="AD16" i="1" s="1"/>
  <c r="AE16" i="1" s="1"/>
  <c r="AG16" i="1" s="1"/>
  <c r="AQ18" i="1"/>
  <c r="T19" i="1"/>
  <c r="AN19" i="1" s="1"/>
  <c r="AJ19" i="1" s="1"/>
  <c r="AK19" i="1" s="1"/>
  <c r="V19" i="1"/>
  <c r="W19" i="1" s="1"/>
  <c r="V18" i="1"/>
  <c r="W18" i="1" s="1"/>
  <c r="AA15" i="1"/>
  <c r="AD15" i="1" s="1"/>
  <c r="AE15" i="1" s="1"/>
  <c r="AG15" i="1" s="1"/>
  <c r="AJ18" i="1" l="1"/>
  <c r="AK18" i="1" s="1"/>
  <c r="AH16" i="1"/>
  <c r="AI16" i="1"/>
  <c r="X18" i="1"/>
  <c r="X19" i="1"/>
  <c r="AH15" i="1"/>
  <c r="AI15" i="1"/>
  <c r="Y18" i="1"/>
  <c r="AB18" i="1" s="1"/>
  <c r="Z18" i="1" l="1"/>
  <c r="AC18" i="1" s="1"/>
  <c r="AM21" i="1" s="1"/>
  <c r="AQ21" i="1" s="1"/>
  <c r="AA18" i="1"/>
  <c r="AD18" i="1" s="1"/>
  <c r="Y19" i="1"/>
  <c r="Z19" i="1" l="1"/>
  <c r="AC19" i="1" s="1"/>
  <c r="AM22" i="1" s="1"/>
  <c r="AB19" i="1"/>
  <c r="V21" i="1"/>
  <c r="W21" i="1" s="1"/>
  <c r="T21" i="1"/>
  <c r="AN21" i="1" s="1"/>
  <c r="AE18" i="1"/>
  <c r="AG18" i="1" s="1"/>
  <c r="X21" i="1" l="1"/>
  <c r="V22" i="1"/>
  <c r="W22" i="1"/>
  <c r="X22" i="1" s="1"/>
  <c r="AQ22" i="1"/>
  <c r="T22" i="1"/>
  <c r="AN22" i="1" s="1"/>
  <c r="AH18" i="1"/>
  <c r="AI18" i="1"/>
  <c r="AA19" i="1"/>
  <c r="AD19" i="1" s="1"/>
  <c r="AE19" i="1" s="1"/>
  <c r="AG19" i="1" s="1"/>
  <c r="AH19" i="1" l="1"/>
  <c r="AI19" i="1"/>
  <c r="Y21" i="1"/>
  <c r="Y22" i="1"/>
  <c r="AB22" i="1" s="1"/>
  <c r="Z21" i="1" l="1"/>
  <c r="AC21" i="1" s="1"/>
  <c r="AM24" i="1" s="1"/>
  <c r="AB21" i="1"/>
  <c r="Z22" i="1"/>
  <c r="AC22" i="1" s="1"/>
  <c r="AM25" i="1" s="1"/>
  <c r="AA21" i="1" l="1"/>
  <c r="AD21" i="1" s="1"/>
  <c r="AE21" i="1" s="1"/>
  <c r="AG21" i="1" s="1"/>
  <c r="AH21" i="1" s="1"/>
  <c r="AQ25" i="1"/>
  <c r="T25" i="1"/>
  <c r="AN25" i="1" s="1"/>
  <c r="V25" i="1"/>
  <c r="W25" i="1" s="1"/>
  <c r="AA22" i="1"/>
  <c r="AD22" i="1" s="1"/>
  <c r="AE22" i="1" s="1"/>
  <c r="AG22" i="1" s="1"/>
  <c r="AQ24" i="1"/>
  <c r="T24" i="1"/>
  <c r="AN24" i="1" s="1"/>
  <c r="V24" i="1"/>
  <c r="W24" i="1" s="1"/>
  <c r="AI21" i="1" l="1"/>
  <c r="AH22" i="1"/>
  <c r="AI22" i="1"/>
  <c r="X25" i="1"/>
  <c r="X24" i="1"/>
  <c r="Y25" i="1" l="1"/>
  <c r="Y24" i="1"/>
  <c r="Z24" i="1" l="1"/>
  <c r="AC24" i="1" s="1"/>
  <c r="AM27" i="1" s="1"/>
  <c r="AB24" i="1"/>
  <c r="Z25" i="1"/>
  <c r="AC25" i="1" s="1"/>
  <c r="AM28" i="1" s="1"/>
  <c r="AB25" i="1"/>
  <c r="AA24" i="1" l="1"/>
  <c r="AD24" i="1" s="1"/>
  <c r="AE24" i="1" s="1"/>
  <c r="AG24" i="1" s="1"/>
  <c r="AH24" i="1" s="1"/>
  <c r="AQ28" i="1"/>
  <c r="T28" i="1"/>
  <c r="AN28" i="1" s="1"/>
  <c r="V28" i="1"/>
  <c r="AA25" i="1"/>
  <c r="AD25" i="1" s="1"/>
  <c r="AE25" i="1" s="1"/>
  <c r="AG25" i="1" s="1"/>
  <c r="AQ27" i="1"/>
  <c r="T27" i="1"/>
  <c r="AN27" i="1" s="1"/>
  <c r="V27" i="1"/>
  <c r="AI24" i="1" l="1"/>
  <c r="W27" i="1"/>
  <c r="X27" i="1" s="1"/>
  <c r="Y27" i="1" s="1"/>
  <c r="AH25" i="1"/>
  <c r="AI25" i="1"/>
  <c r="W28" i="1"/>
  <c r="X28" i="1" l="1"/>
  <c r="Z27" i="1"/>
  <c r="AC27" i="1" s="1"/>
  <c r="AM30" i="1" s="1"/>
  <c r="AB27" i="1"/>
  <c r="AA27" i="1" l="1"/>
  <c r="AD27" i="1" s="1"/>
  <c r="AE27" i="1" s="1"/>
  <c r="AG27" i="1" s="1"/>
  <c r="AQ30" i="1"/>
  <c r="T30" i="1"/>
  <c r="AN30" i="1" s="1"/>
  <c r="V30" i="1"/>
  <c r="W30" i="1" s="1"/>
  <c r="Y28" i="1"/>
  <c r="AH27" i="1" l="1"/>
  <c r="AI27" i="1"/>
  <c r="X30" i="1"/>
  <c r="Z28" i="1"/>
  <c r="AC28" i="1" s="1"/>
  <c r="AM31" i="1" s="1"/>
  <c r="AB28" i="1"/>
  <c r="AA28" i="1" l="1"/>
  <c r="AD28" i="1" s="1"/>
  <c r="AE28" i="1" s="1"/>
  <c r="AG28" i="1" s="1"/>
  <c r="AQ31" i="1"/>
  <c r="T31" i="1"/>
  <c r="AN31" i="1" s="1"/>
  <c r="V31" i="1"/>
  <c r="W31" i="1" s="1"/>
  <c r="Y30" i="1"/>
  <c r="X31" i="1" l="1"/>
  <c r="Y31" i="1" s="1"/>
  <c r="AB31" i="1" s="1"/>
  <c r="Z30" i="1"/>
  <c r="AC30" i="1" s="1"/>
  <c r="AM33" i="1" s="1"/>
  <c r="AB30" i="1"/>
  <c r="AH28" i="1"/>
  <c r="AI28" i="1"/>
  <c r="AA30" i="1" l="1"/>
  <c r="AD30" i="1" s="1"/>
  <c r="AE30" i="1" s="1"/>
  <c r="AG30" i="1" s="1"/>
  <c r="V33" i="1"/>
  <c r="W33" i="1" s="1"/>
  <c r="T33" i="1"/>
  <c r="AN33" i="1" s="1"/>
  <c r="AQ33" i="1"/>
  <c r="Z31" i="1"/>
  <c r="AC31" i="1" s="1"/>
  <c r="AM34" i="1" s="1"/>
  <c r="X33" i="1" l="1"/>
  <c r="AH30" i="1"/>
  <c r="AI30" i="1"/>
  <c r="V34" i="1"/>
  <c r="W34" i="1" s="1"/>
  <c r="AQ34" i="1"/>
  <c r="T34" i="1"/>
  <c r="AN34" i="1" s="1"/>
  <c r="AA31" i="1"/>
  <c r="AD31" i="1" s="1"/>
  <c r="AE31" i="1" s="1"/>
  <c r="AG31" i="1" s="1"/>
  <c r="X34" i="1" l="1"/>
  <c r="Y34" i="1" s="1"/>
  <c r="AB34" i="1" s="1"/>
  <c r="Y33" i="1"/>
  <c r="AH31" i="1"/>
  <c r="AI31" i="1"/>
  <c r="Z33" i="1" l="1"/>
  <c r="AC33" i="1" s="1"/>
  <c r="AM36" i="1" s="1"/>
  <c r="AA33" i="1"/>
  <c r="AD33" i="1" s="1"/>
  <c r="AB33" i="1"/>
  <c r="Z34" i="1"/>
  <c r="AC34" i="1" s="1"/>
  <c r="AM37" i="1" s="1"/>
  <c r="AE33" i="1" l="1"/>
  <c r="AG33" i="1" s="1"/>
  <c r="AH33" i="1" s="1"/>
  <c r="AA34" i="1"/>
  <c r="AD34" i="1" s="1"/>
  <c r="AQ37" i="1"/>
  <c r="T37" i="1"/>
  <c r="AN37" i="1" s="1"/>
  <c r="V37" i="1"/>
  <c r="W37" i="1" s="1"/>
  <c r="X37" i="1" s="1"/>
  <c r="AQ36" i="1"/>
  <c r="T36" i="1"/>
  <c r="AN36" i="1" s="1"/>
  <c r="V36" i="1"/>
  <c r="AE34" i="1"/>
  <c r="AG34" i="1" s="1"/>
  <c r="AI33" i="1" l="1"/>
  <c r="Y37" i="1"/>
  <c r="AB37" i="1" s="1"/>
  <c r="AH34" i="1"/>
  <c r="AI34" i="1"/>
  <c r="W36" i="1"/>
  <c r="X36" i="1" l="1"/>
  <c r="Z37" i="1"/>
  <c r="AC37" i="1" s="1"/>
  <c r="AM40" i="1" s="1"/>
  <c r="AA37" i="1" l="1"/>
  <c r="AD37" i="1" s="1"/>
  <c r="AQ40" i="1"/>
  <c r="T40" i="1"/>
  <c r="AN40" i="1" s="1"/>
  <c r="V40" i="1"/>
  <c r="W40" i="1" s="1"/>
  <c r="X40" i="1" s="1"/>
  <c r="AE37" i="1"/>
  <c r="AG37" i="1" s="1"/>
  <c r="Y36" i="1"/>
  <c r="AH37" i="1" l="1"/>
  <c r="AI37" i="1"/>
  <c r="Z36" i="1"/>
  <c r="AC36" i="1" s="1"/>
  <c r="AM39" i="1" s="1"/>
  <c r="AB36" i="1"/>
  <c r="Y40" i="1"/>
  <c r="AB40" i="1" s="1"/>
  <c r="Z40" i="1" l="1"/>
  <c r="AC40" i="1" s="1"/>
  <c r="AM43" i="1" s="1"/>
  <c r="AA40" i="1"/>
  <c r="AD40" i="1" s="1"/>
  <c r="AA36" i="1"/>
  <c r="AD36" i="1" s="1"/>
  <c r="AE36" i="1" s="1"/>
  <c r="AG36" i="1" s="1"/>
  <c r="AQ39" i="1"/>
  <c r="T39" i="1"/>
  <c r="AN39" i="1" s="1"/>
  <c r="V39" i="1"/>
  <c r="AH36" i="1" l="1"/>
  <c r="AI36" i="1"/>
  <c r="AQ43" i="1"/>
  <c r="T43" i="1"/>
  <c r="AN43" i="1" s="1"/>
  <c r="V43" i="1"/>
  <c r="W43" i="1" s="1"/>
  <c r="W39" i="1"/>
  <c r="X39" i="1" s="1"/>
  <c r="AE40" i="1"/>
  <c r="AG40" i="1" s="1"/>
  <c r="X43" i="1" l="1"/>
  <c r="Y39" i="1"/>
  <c r="AH40" i="1"/>
  <c r="AI40" i="1"/>
  <c r="Y43" i="1"/>
  <c r="AB43" i="1" s="1"/>
  <c r="Z43" i="1" l="1"/>
  <c r="AC43" i="1" s="1"/>
  <c r="AM46" i="1" s="1"/>
  <c r="Z39" i="1"/>
  <c r="AC39" i="1" s="1"/>
  <c r="AM42" i="1" s="1"/>
  <c r="AB39" i="1"/>
  <c r="AA43" i="1" l="1"/>
  <c r="AD43" i="1" s="1"/>
  <c r="AA39" i="1"/>
  <c r="AD39" i="1" s="1"/>
  <c r="AE39" i="1" s="1"/>
  <c r="AG39" i="1" s="1"/>
  <c r="AQ42" i="1"/>
  <c r="T42" i="1"/>
  <c r="AN42" i="1" s="1"/>
  <c r="V42" i="1"/>
  <c r="W42" i="1" s="1"/>
  <c r="V46" i="1"/>
  <c r="W46" i="1" s="1"/>
  <c r="X46" i="1" s="1"/>
  <c r="AQ46" i="1"/>
  <c r="T46" i="1"/>
  <c r="AN46" i="1" s="1"/>
  <c r="AE43" i="1"/>
  <c r="AG43" i="1" s="1"/>
  <c r="AH43" i="1" l="1"/>
  <c r="AI43" i="1"/>
  <c r="Y46" i="1"/>
  <c r="AB46" i="1" s="1"/>
  <c r="X42" i="1"/>
  <c r="AH39" i="1"/>
  <c r="AI39" i="1"/>
  <c r="Y42" i="1" l="1"/>
  <c r="Z46" i="1"/>
  <c r="AC46" i="1" s="1"/>
  <c r="AM49" i="1" s="1"/>
  <c r="AA46" i="1" l="1"/>
  <c r="AD46" i="1" s="1"/>
  <c r="AE46" i="1" s="1"/>
  <c r="AG46" i="1" s="1"/>
  <c r="AH46" i="1" s="1"/>
  <c r="AQ49" i="1"/>
  <c r="T49" i="1"/>
  <c r="AN49" i="1" s="1"/>
  <c r="V49" i="1"/>
  <c r="W49" i="1" s="1"/>
  <c r="Z42" i="1"/>
  <c r="AC42" i="1" s="1"/>
  <c r="AM45" i="1" s="1"/>
  <c r="AB42" i="1"/>
  <c r="AI46" i="1" l="1"/>
  <c r="AA42" i="1"/>
  <c r="AD42" i="1" s="1"/>
  <c r="X49" i="1"/>
  <c r="V45" i="1"/>
  <c r="W45" i="1" s="1"/>
  <c r="AQ45" i="1"/>
  <c r="T45" i="1"/>
  <c r="AN45" i="1" s="1"/>
  <c r="Y49" i="1"/>
  <c r="AB49" i="1" s="1"/>
  <c r="AE42" i="1"/>
  <c r="AG42" i="1" s="1"/>
  <c r="X45" i="1" l="1"/>
  <c r="Z49" i="1"/>
  <c r="AC49" i="1" s="1"/>
  <c r="AM52" i="1" s="1"/>
  <c r="AH42" i="1"/>
  <c r="AI42" i="1"/>
  <c r="AA49" i="1" l="1"/>
  <c r="AD49" i="1" s="1"/>
  <c r="AE49" i="1" s="1"/>
  <c r="AG49" i="1" s="1"/>
  <c r="AH49" i="1" s="1"/>
  <c r="AQ52" i="1"/>
  <c r="T52" i="1"/>
  <c r="AN52" i="1" s="1"/>
  <c r="V52" i="1"/>
  <c r="Y45" i="1"/>
  <c r="AI49" i="1" l="1"/>
  <c r="W52" i="1"/>
  <c r="X52" i="1" s="1"/>
  <c r="Y52" i="1" s="1"/>
  <c r="AB52" i="1" s="1"/>
  <c r="Z45" i="1"/>
  <c r="AC45" i="1" s="1"/>
  <c r="AM48" i="1" s="1"/>
  <c r="AB45" i="1"/>
  <c r="AA45" i="1" l="1"/>
  <c r="AD45" i="1" s="1"/>
  <c r="AE45" i="1" s="1"/>
  <c r="AG45" i="1" s="1"/>
  <c r="AH45" i="1" s="1"/>
  <c r="Z52" i="1"/>
  <c r="AC52" i="1" s="1"/>
  <c r="AQ48" i="1"/>
  <c r="T48" i="1"/>
  <c r="AN48" i="1" s="1"/>
  <c r="V48" i="1"/>
  <c r="AI45" i="1" l="1"/>
  <c r="AA52" i="1"/>
  <c r="AD52" i="1" s="1"/>
  <c r="AE52" i="1" s="1"/>
  <c r="AG52" i="1" s="1"/>
  <c r="W48" i="1"/>
  <c r="AI52" i="1" l="1"/>
  <c r="AH52" i="1"/>
  <c r="X48" i="1"/>
  <c r="Y48" i="1" l="1"/>
  <c r="Z48" i="1" l="1"/>
  <c r="AC48" i="1" s="1"/>
  <c r="AM51" i="1" s="1"/>
  <c r="AA48" i="1"/>
  <c r="AD48" i="1" s="1"/>
  <c r="AB48" i="1"/>
  <c r="AE48" i="1" l="1"/>
  <c r="AG48" i="1" s="1"/>
  <c r="AH48" i="1" s="1"/>
  <c r="AQ51" i="1"/>
  <c r="V51" i="1"/>
  <c r="W51" i="1" s="1"/>
  <c r="X51" i="1" s="1"/>
  <c r="T51" i="1"/>
  <c r="AN51" i="1" s="1"/>
  <c r="AI48" i="1" l="1"/>
  <c r="Y51" i="1"/>
  <c r="AB51" i="1" s="1"/>
  <c r="Z51" i="1" l="1"/>
  <c r="AC51" i="1" s="1"/>
  <c r="AM54" i="1" s="1"/>
  <c r="T54" i="1" l="1"/>
  <c r="AN54" i="1" s="1"/>
  <c r="V54" i="1"/>
  <c r="AQ54" i="1"/>
  <c r="AA51" i="1"/>
  <c r="AD51" i="1" s="1"/>
  <c r="AE51" i="1" s="1"/>
  <c r="AG51" i="1" s="1"/>
  <c r="AH51" i="1" l="1"/>
  <c r="AI51" i="1"/>
  <c r="W54" i="1"/>
  <c r="X54" i="1" l="1"/>
  <c r="Y54" i="1" l="1"/>
  <c r="Z54" i="1" l="1"/>
  <c r="AC54" i="1" s="1"/>
  <c r="AB54" i="1"/>
  <c r="AA54" i="1" l="1"/>
  <c r="AD54" i="1" s="1"/>
  <c r="AE54" i="1" s="1"/>
  <c r="AG54" i="1" s="1"/>
  <c r="AI54" i="1" l="1"/>
  <c r="AH54" i="1"/>
  <c r="AS14" i="1"/>
  <c r="AT14" i="1" s="1"/>
  <c r="AJ18" i="2" s="1"/>
  <c r="AU14" i="1"/>
  <c r="AW14" i="1" s="1"/>
  <c r="AJ20" i="2" l="1"/>
  <c r="AJ19" i="2"/>
  <c r="AV14" i="1"/>
  <c r="L14" i="1"/>
  <c r="M14" i="1" s="1"/>
  <c r="AK3" i="2" l="1"/>
  <c r="Q14" i="1"/>
  <c r="H3" i="1" s="1"/>
  <c r="H2" i="1"/>
  <c r="P14" i="1" l="1"/>
  <c r="AE4" i="2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P14" i="1" l="1"/>
  <c r="AM14" i="1"/>
  <c r="AQ14" i="1" s="1"/>
  <c r="T14" i="1" l="1"/>
  <c r="W14" i="1" l="1"/>
  <c r="X14" i="1" l="1"/>
  <c r="BM12" i="2"/>
  <c r="AL14" i="1" s="1"/>
  <c r="AO14" i="1"/>
  <c r="L11" i="3"/>
  <c r="G13" i="3"/>
  <c r="G12" i="3"/>
  <c r="F12" i="3"/>
  <c r="G11" i="3"/>
  <c r="E10" i="3"/>
  <c r="G10" i="3" s="1"/>
  <c r="F9" i="3"/>
  <c r="F8" i="3"/>
  <c r="E8" i="3"/>
  <c r="G8" i="3" s="1"/>
  <c r="F7" i="3"/>
  <c r="G7" i="3" s="1"/>
  <c r="E7" i="3"/>
  <c r="F6" i="3"/>
  <c r="E6" i="3"/>
  <c r="G6" i="3" s="1"/>
  <c r="F5" i="3"/>
  <c r="E5" i="3"/>
  <c r="G5" i="3" s="1"/>
  <c r="G4" i="3"/>
  <c r="G3" i="3"/>
  <c r="S17" i="2"/>
  <c r="S27" i="2"/>
  <c r="S26" i="2"/>
  <c r="S25" i="2"/>
  <c r="S24" i="2"/>
  <c r="S23" i="2"/>
  <c r="S22" i="2"/>
  <c r="S21" i="2"/>
  <c r="S20" i="2"/>
  <c r="S19" i="2"/>
  <c r="S18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C8" i="2"/>
  <c r="Z1" i="2"/>
  <c r="Y1" i="2"/>
  <c r="X1" i="2"/>
  <c r="W1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J4" i="2"/>
  <c r="J5" i="2" s="1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" i="2"/>
  <c r="M27" i="2"/>
  <c r="M26" i="2"/>
  <c r="M25" i="2"/>
  <c r="M24" i="2"/>
  <c r="M23" i="2"/>
  <c r="M22" i="2"/>
  <c r="M21" i="2"/>
  <c r="M20" i="2"/>
  <c r="M19" i="2"/>
  <c r="M14" i="2"/>
  <c r="M12" i="2"/>
  <c r="M11" i="2"/>
  <c r="M10" i="2"/>
  <c r="M9" i="2"/>
  <c r="M8" i="2"/>
  <c r="M7" i="2"/>
  <c r="M6" i="2"/>
  <c r="M4" i="2"/>
  <c r="M3" i="2"/>
  <c r="G22" i="2"/>
  <c r="G21" i="2"/>
  <c r="G20" i="2"/>
  <c r="AR14" i="1" s="1"/>
  <c r="N14" i="1" s="1"/>
  <c r="O14" i="1" s="1"/>
  <c r="K7" i="1" s="1"/>
  <c r="J7" i="1" s="1"/>
  <c r="I7" i="1" s="1"/>
  <c r="H7" i="1" s="1"/>
  <c r="G19" i="2"/>
  <c r="G18" i="2"/>
  <c r="G17" i="2"/>
  <c r="G16" i="2"/>
  <c r="G15" i="2"/>
  <c r="G14" i="2"/>
  <c r="G12" i="2"/>
  <c r="G11" i="2"/>
  <c r="G10" i="2"/>
  <c r="G9" i="2"/>
  <c r="G8" i="2"/>
  <c r="G7" i="2"/>
  <c r="G6" i="2"/>
  <c r="G4" i="2"/>
  <c r="G3" i="2"/>
  <c r="AY14" i="1" l="1"/>
  <c r="J6" i="1"/>
  <c r="AF14" i="1"/>
  <c r="AN14" i="1"/>
  <c r="AJ14" i="1" s="1"/>
  <c r="G14" i="3"/>
  <c r="G15" i="3" s="1"/>
  <c r="E9" i="3"/>
  <c r="D9" i="3" s="1"/>
  <c r="I6" i="1" l="1"/>
  <c r="H6" i="1" s="1"/>
  <c r="AK14" i="1"/>
  <c r="Y14" i="1" l="1"/>
  <c r="Z14" i="1" s="1"/>
  <c r="AC14" i="1" l="1"/>
  <c r="AM17" i="1" s="1"/>
  <c r="AB14" i="1"/>
  <c r="AA14" i="1"/>
  <c r="AD14" i="1" s="1"/>
  <c r="V17" i="1" l="1"/>
  <c r="AQ17" i="1"/>
  <c r="T17" i="1"/>
  <c r="AN17" i="1" s="1"/>
  <c r="W17" i="1"/>
  <c r="X17" i="1" s="1"/>
  <c r="Y17" i="1" s="1"/>
  <c r="AE14" i="1"/>
  <c r="AG14" i="1" s="1"/>
  <c r="AH14" i="1" l="1"/>
  <c r="AJ17" i="1"/>
  <c r="AK17" i="1" s="1"/>
  <c r="Z17" i="1"/>
  <c r="AC17" i="1" s="1"/>
  <c r="AM20" i="1" s="1"/>
  <c r="AB17" i="1"/>
  <c r="AI14" i="1"/>
  <c r="AA17" i="1" l="1"/>
  <c r="AD17" i="1" s="1"/>
  <c r="AE17" i="1" s="1"/>
  <c r="AG17" i="1" s="1"/>
  <c r="AQ20" i="1"/>
  <c r="V20" i="1"/>
  <c r="T20" i="1"/>
  <c r="AN20" i="1" s="1"/>
  <c r="W20" i="1"/>
  <c r="X20" i="1" s="1"/>
  <c r="Y20" i="1" s="1"/>
  <c r="AB20" i="1" l="1"/>
  <c r="Z20" i="1"/>
  <c r="AC20" i="1" s="1"/>
  <c r="AM23" i="1" s="1"/>
  <c r="AI17" i="1"/>
  <c r="AH17" i="1"/>
  <c r="AA20" i="1" l="1"/>
  <c r="AD20" i="1" s="1"/>
  <c r="V23" i="1"/>
  <c r="AQ23" i="1"/>
  <c r="T23" i="1"/>
  <c r="AN23" i="1" s="1"/>
  <c r="AE20" i="1"/>
  <c r="AG20" i="1" s="1"/>
  <c r="AH20" i="1" l="1"/>
  <c r="AI20" i="1"/>
  <c r="W23" i="1"/>
  <c r="X23" i="1" s="1"/>
  <c r="Y23" i="1" s="1"/>
  <c r="AB23" i="1" s="1"/>
  <c r="Z23" i="1" l="1"/>
  <c r="AC23" i="1" s="1"/>
  <c r="AM26" i="1" s="1"/>
  <c r="AA23" i="1"/>
  <c r="AD23" i="1" s="1"/>
  <c r="V26" i="1" l="1"/>
  <c r="T26" i="1"/>
  <c r="AN26" i="1" s="1"/>
  <c r="AQ26" i="1"/>
  <c r="W26" i="1"/>
  <c r="X26" i="1" s="1"/>
  <c r="Y26" i="1" s="1"/>
  <c r="AE23" i="1"/>
  <c r="AG23" i="1" s="1"/>
  <c r="AH23" i="1" l="1"/>
  <c r="AI23" i="1"/>
  <c r="Z26" i="1"/>
  <c r="AC26" i="1" s="1"/>
  <c r="AM29" i="1" s="1"/>
  <c r="AB26" i="1"/>
  <c r="AA26" i="1" l="1"/>
  <c r="AD26" i="1" s="1"/>
  <c r="AE26" i="1" s="1"/>
  <c r="AG26" i="1" s="1"/>
  <c r="AQ29" i="1"/>
  <c r="T29" i="1"/>
  <c r="AN29" i="1" s="1"/>
  <c r="V29" i="1"/>
  <c r="W29" i="1" s="1"/>
  <c r="X29" i="1" s="1"/>
  <c r="Y29" i="1" s="1"/>
  <c r="Z29" i="1" l="1"/>
  <c r="AC29" i="1" s="1"/>
  <c r="AM32" i="1" s="1"/>
  <c r="AB29" i="1"/>
  <c r="AI26" i="1"/>
  <c r="AH26" i="1"/>
  <c r="AA29" i="1" l="1"/>
  <c r="AD29" i="1" s="1"/>
  <c r="AE29" i="1" s="1"/>
  <c r="AG29" i="1" s="1"/>
  <c r="AQ32" i="1"/>
  <c r="T32" i="1"/>
  <c r="AN32" i="1" s="1"/>
  <c r="V32" i="1"/>
  <c r="AH29" i="1" l="1"/>
  <c r="AI29" i="1"/>
  <c r="W32" i="1"/>
  <c r="X32" i="1" s="1"/>
  <c r="Y32" i="1" s="1"/>
  <c r="Z32" i="1" l="1"/>
  <c r="AC32" i="1" s="1"/>
  <c r="AM35" i="1" s="1"/>
  <c r="AB32" i="1"/>
  <c r="AQ35" i="1" l="1"/>
  <c r="V35" i="1"/>
  <c r="T35" i="1"/>
  <c r="AN35" i="1" s="1"/>
  <c r="W35" i="1"/>
  <c r="X35" i="1" s="1"/>
  <c r="Y35" i="1" s="1"/>
  <c r="AA32" i="1"/>
  <c r="AD32" i="1" s="1"/>
  <c r="AE32" i="1" s="1"/>
  <c r="AG32" i="1" s="1"/>
  <c r="AH32" i="1" l="1"/>
  <c r="AI32" i="1"/>
  <c r="Z35" i="1"/>
  <c r="AC35" i="1" s="1"/>
  <c r="AM38" i="1" s="1"/>
  <c r="AB35" i="1"/>
  <c r="AA35" i="1" l="1"/>
  <c r="AD35" i="1" s="1"/>
  <c r="AE35" i="1" s="1"/>
  <c r="AG35" i="1" s="1"/>
  <c r="AH35" i="1" s="1"/>
  <c r="AQ38" i="1"/>
  <c r="T38" i="1"/>
  <c r="AN38" i="1" s="1"/>
  <c r="V38" i="1"/>
  <c r="AI35" i="1" l="1"/>
  <c r="W38" i="1"/>
  <c r="X38" i="1" s="1"/>
  <c r="Y38" i="1" s="1"/>
  <c r="AB38" i="1" s="1"/>
  <c r="Z38" i="1" l="1"/>
  <c r="AC38" i="1" s="1"/>
  <c r="AM41" i="1" s="1"/>
  <c r="AQ41" i="1" l="1"/>
  <c r="T41" i="1"/>
  <c r="AN41" i="1" s="1"/>
  <c r="V41" i="1"/>
  <c r="W41" i="1" s="1"/>
  <c r="AA38" i="1"/>
  <c r="AD38" i="1" s="1"/>
  <c r="AE38" i="1" s="1"/>
  <c r="AG38" i="1" s="1"/>
  <c r="AH38" i="1" l="1"/>
  <c r="AI38" i="1"/>
  <c r="X41" i="1"/>
  <c r="Y41" i="1" s="1"/>
  <c r="Z41" i="1" l="1"/>
  <c r="AC41" i="1" s="1"/>
  <c r="AM44" i="1" s="1"/>
  <c r="AB41" i="1"/>
  <c r="AA41" i="1" l="1"/>
  <c r="AD41" i="1" s="1"/>
  <c r="AE41" i="1" s="1"/>
  <c r="AG41" i="1" s="1"/>
  <c r="AH41" i="1" s="1"/>
  <c r="T44" i="1"/>
  <c r="AN44" i="1" s="1"/>
  <c r="AQ44" i="1"/>
  <c r="V44" i="1"/>
  <c r="W44" i="1" s="1"/>
  <c r="AI41" i="1" l="1"/>
  <c r="X44" i="1"/>
  <c r="Y44" i="1" s="1"/>
  <c r="AB44" i="1" s="1"/>
  <c r="Z44" i="1" l="1"/>
  <c r="AC44" i="1" s="1"/>
  <c r="AM47" i="1" s="1"/>
  <c r="AA44" i="1" l="1"/>
  <c r="AD44" i="1" s="1"/>
  <c r="T47" i="1"/>
  <c r="AN47" i="1" s="1"/>
  <c r="V47" i="1"/>
  <c r="W47" i="1" s="1"/>
  <c r="X47" i="1" s="1"/>
  <c r="Y47" i="1" s="1"/>
  <c r="AQ47" i="1"/>
  <c r="AE44" i="1"/>
  <c r="AG44" i="1" s="1"/>
  <c r="AB47" i="1" l="1"/>
  <c r="AH44" i="1"/>
  <c r="AI44" i="1"/>
  <c r="Z47" i="1"/>
  <c r="AC47" i="1" s="1"/>
  <c r="AM50" i="1" s="1"/>
  <c r="AQ50" i="1" l="1"/>
  <c r="T50" i="1"/>
  <c r="AN50" i="1" s="1"/>
  <c r="V50" i="1"/>
  <c r="AA47" i="1"/>
  <c r="AD47" i="1" s="1"/>
  <c r="AE47" i="1" s="1"/>
  <c r="AG47" i="1" s="1"/>
  <c r="AI47" i="1" l="1"/>
  <c r="AH47" i="1"/>
  <c r="W50" i="1"/>
  <c r="X50" i="1" s="1"/>
  <c r="Y50" i="1" s="1"/>
  <c r="AB50" i="1" s="1"/>
  <c r="Z50" i="1" l="1"/>
  <c r="AC50" i="1" s="1"/>
  <c r="AM53" i="1" s="1"/>
  <c r="AA50" i="1" l="1"/>
  <c r="AD50" i="1" s="1"/>
  <c r="AQ53" i="1"/>
  <c r="T53" i="1"/>
  <c r="AN53" i="1" s="1"/>
  <c r="V53" i="1"/>
  <c r="W53" i="1" s="1"/>
  <c r="X53" i="1" s="1"/>
  <c r="Y53" i="1" s="1"/>
  <c r="AE50" i="1"/>
  <c r="AG50" i="1" s="1"/>
  <c r="Z53" i="1" l="1"/>
  <c r="AC53" i="1" s="1"/>
  <c r="AA53" i="1"/>
  <c r="AD53" i="1" s="1"/>
  <c r="AH50" i="1"/>
  <c r="AI50" i="1"/>
  <c r="AB53" i="1"/>
  <c r="AE53" i="1" l="1"/>
  <c r="AG53" i="1" s="1"/>
  <c r="H5" i="1" s="1"/>
  <c r="AI53" i="1" l="1"/>
  <c r="AH53" i="1"/>
</calcChain>
</file>

<file path=xl/sharedStrings.xml><?xml version="1.0" encoding="utf-8"?>
<sst xmlns="http://schemas.openxmlformats.org/spreadsheetml/2006/main" count="336" uniqueCount="199">
  <si>
    <t>LASER</t>
  </si>
  <si>
    <t>Espessura</t>
  </si>
  <si>
    <t>Velocidade teórica mm/min</t>
  </si>
  <si>
    <t>Velocidade teorica (-15 %) mm/min</t>
  </si>
  <si>
    <t>Velocidade furo mm/min</t>
  </si>
  <si>
    <t>Amperagem / Bico</t>
  </si>
  <si>
    <t xml:space="preserve">PLASMA </t>
  </si>
  <si>
    <t>Fator peças</t>
  </si>
  <si>
    <t>Tempo adicional</t>
  </si>
  <si>
    <t>0-5kg</t>
  </si>
  <si>
    <t>5 - 10 kg</t>
  </si>
  <si>
    <t>10 - 20kg</t>
  </si>
  <si>
    <t>20kg - acima</t>
  </si>
  <si>
    <t>1 a 10</t>
  </si>
  <si>
    <t>11 a 30</t>
  </si>
  <si>
    <t>31 a 50</t>
  </si>
  <si>
    <t>51 a 70</t>
  </si>
  <si>
    <t>71 a 90</t>
  </si>
  <si>
    <t>91 a 110</t>
  </si>
  <si>
    <t>111 a 130</t>
  </si>
  <si>
    <t>131 a 150</t>
  </si>
  <si>
    <t>151 a 170</t>
  </si>
  <si>
    <t>171 a 190</t>
  </si>
  <si>
    <t>191 a 210</t>
  </si>
  <si>
    <t>211 a 230</t>
  </si>
  <si>
    <t>231 a 250</t>
  </si>
  <si>
    <t>251 a 270</t>
  </si>
  <si>
    <t>271 a 290</t>
  </si>
  <si>
    <t>Calculo custo / min</t>
  </si>
  <si>
    <t>Mês</t>
  </si>
  <si>
    <t>Dias úteis</t>
  </si>
  <si>
    <t>Minutos</t>
  </si>
  <si>
    <t>Custo/min</t>
  </si>
  <si>
    <t>Fator furo</t>
  </si>
  <si>
    <t>Fator furo oblongo</t>
  </si>
  <si>
    <t>até 4,75mm</t>
  </si>
  <si>
    <t>5 s</t>
  </si>
  <si>
    <t>até 9,5 mm</t>
  </si>
  <si>
    <t xml:space="preserve">7 s </t>
  </si>
  <si>
    <t>acima 9,5</t>
  </si>
  <si>
    <t>10 s</t>
  </si>
  <si>
    <t>TIPO DE PECA</t>
  </si>
  <si>
    <t>Q</t>
  </si>
  <si>
    <t>QUADRADO</t>
  </si>
  <si>
    <t>R</t>
  </si>
  <si>
    <t>RETANGULO</t>
  </si>
  <si>
    <t xml:space="preserve">T </t>
  </si>
  <si>
    <t>TRIANGULO</t>
  </si>
  <si>
    <t>TP</t>
  </si>
  <si>
    <t>TRAPEZIO</t>
  </si>
  <si>
    <t>C</t>
  </si>
  <si>
    <t>CIRCULO</t>
  </si>
  <si>
    <t>Custo M.P</t>
  </si>
  <si>
    <t>CUSTO KG</t>
  </si>
  <si>
    <t>GUILHOTINA</t>
  </si>
  <si>
    <t>VALOR  - KG</t>
  </si>
  <si>
    <t>PERFILCORTE</t>
  </si>
  <si>
    <t>O</t>
  </si>
  <si>
    <t>D</t>
  </si>
  <si>
    <t>Custo c/ impostos</t>
  </si>
  <si>
    <t>SP</t>
  </si>
  <si>
    <t>NO</t>
  </si>
  <si>
    <t>Custo MP</t>
  </si>
  <si>
    <t>IPI</t>
  </si>
  <si>
    <t>PIS</t>
  </si>
  <si>
    <t>COFINS</t>
  </si>
  <si>
    <t>ICMS</t>
  </si>
  <si>
    <t>Perda</t>
  </si>
  <si>
    <t>CAÇAMBA</t>
  </si>
  <si>
    <t>CONSUMIVEIS</t>
  </si>
  <si>
    <t>Comissão</t>
  </si>
  <si>
    <t>COMISSÃO</t>
  </si>
  <si>
    <t>FRETE</t>
  </si>
  <si>
    <t>MC ===&gt;&gt;</t>
  </si>
  <si>
    <t>SIMULADOR - AMARO</t>
  </si>
  <si>
    <t>ENTRADA</t>
  </si>
  <si>
    <t>SAIDA</t>
  </si>
  <si>
    <t>CUSTO MAQUINA - KG</t>
  </si>
  <si>
    <t>CONSUMIVEL</t>
  </si>
  <si>
    <t>ENERGIA</t>
  </si>
  <si>
    <t>MANUTENÇÃO</t>
  </si>
  <si>
    <t>TOTAL CONSUMIVEIS</t>
  </si>
  <si>
    <t>MÁQ</t>
  </si>
  <si>
    <t>ICMS
ENTRADA</t>
  </si>
  <si>
    <t>PIS/COFINS
ENTRADA</t>
  </si>
  <si>
    <t>IPI
SAIDA</t>
  </si>
  <si>
    <t>ICMS
SAIDA</t>
  </si>
  <si>
    <t>PIS/COFINS
SAIDA</t>
  </si>
  <si>
    <t>IPI
SALDO</t>
  </si>
  <si>
    <t>ICMS
SALDO</t>
  </si>
  <si>
    <t>PIS/COFINS
SALDO</t>
  </si>
  <si>
    <t>TOTAL
IMPOSTO</t>
  </si>
  <si>
    <t>FQ</t>
  </si>
  <si>
    <t>PREÇO M.P</t>
  </si>
  <si>
    <t>ESP</t>
  </si>
  <si>
    <t>LARG_MP</t>
  </si>
  <si>
    <t>ID_CLIENT</t>
  </si>
  <si>
    <t>ID_NOROACO</t>
  </si>
  <si>
    <t>QTD</t>
  </si>
  <si>
    <t>TIPO_PEÇA</t>
  </si>
  <si>
    <t>N_FUROS</t>
  </si>
  <si>
    <t>DIA_FURO</t>
  </si>
  <si>
    <t>DIM_A</t>
  </si>
  <si>
    <t>DIM_B</t>
  </si>
  <si>
    <t>DIM_C</t>
  </si>
  <si>
    <t>AREA_mm²</t>
  </si>
  <si>
    <t>AREA_TOTAL</t>
  </si>
  <si>
    <t>PERIMETRO_DE_CORTE_POR_PEÇA_mm</t>
  </si>
  <si>
    <t>PERIMETRO_TOTAL</t>
  </si>
  <si>
    <t>PERCURS_mm</t>
  </si>
  <si>
    <t>KG</t>
  </si>
  <si>
    <t>KG_TOTAL</t>
  </si>
  <si>
    <t>R$/P/KG</t>
  </si>
  <si>
    <t>TP_ACO</t>
  </si>
  <si>
    <t>COMISS</t>
  </si>
  <si>
    <t>IMP</t>
  </si>
  <si>
    <t>R$_P_PÇ</t>
  </si>
  <si>
    <t>TOTAL</t>
  </si>
  <si>
    <t>NÃO</t>
  </si>
  <si>
    <t>C_ENTRADA_S_IMPOSTO</t>
  </si>
  <si>
    <t>C_SAIDA_S_IMPOSTO</t>
  </si>
  <si>
    <t>IPI_ENTRADA</t>
  </si>
  <si>
    <t>MARGEM_R$_P_PC</t>
  </si>
  <si>
    <t>MARGEM_R$_TOTAL</t>
  </si>
  <si>
    <t>MARGEM_%</t>
  </si>
  <si>
    <t>CUSTO_KG</t>
  </si>
  <si>
    <t>CUSTO_KG_TOTAL</t>
  </si>
  <si>
    <t>CUSTO_CONSUMIVEL_KG</t>
  </si>
  <si>
    <t>IMPOSTO</t>
  </si>
  <si>
    <t>PERDA R$</t>
  </si>
  <si>
    <t>Perda não cobrada</t>
  </si>
  <si>
    <t>Indice</t>
  </si>
  <si>
    <t>ESPESSURA</t>
  </si>
  <si>
    <t>Perca Não cobrado %</t>
  </si>
  <si>
    <t>0.90</t>
  </si>
  <si>
    <t>1.25</t>
  </si>
  <si>
    <t>1.50</t>
  </si>
  <si>
    <t>1.90</t>
  </si>
  <si>
    <t>2.00</t>
  </si>
  <si>
    <t>2.15</t>
  </si>
  <si>
    <t>2.25</t>
  </si>
  <si>
    <t>2.65</t>
  </si>
  <si>
    <t>3.00</t>
  </si>
  <si>
    <t>3.15</t>
  </si>
  <si>
    <t>3.35</t>
  </si>
  <si>
    <t>3.75</t>
  </si>
  <si>
    <t>3.85</t>
  </si>
  <si>
    <t>4.25</t>
  </si>
  <si>
    <t>4.75</t>
  </si>
  <si>
    <t>6.35</t>
  </si>
  <si>
    <t>7.94</t>
  </si>
  <si>
    <t>9.53</t>
  </si>
  <si>
    <t>12.70</t>
  </si>
  <si>
    <t>15.88</t>
  </si>
  <si>
    <t>19.04</t>
  </si>
  <si>
    <t>22.22</t>
  </si>
  <si>
    <t>25.40</t>
  </si>
  <si>
    <t>28.70</t>
  </si>
  <si>
    <t>31.75</t>
  </si>
  <si>
    <t>38.1</t>
  </si>
  <si>
    <t>VELOC_TEORICA_MM/MIN</t>
  </si>
  <si>
    <t>200</t>
  </si>
  <si>
    <t>CALCULO_CONS_30%_P_PC</t>
  </si>
  <si>
    <t>CONSULTORIA
INDUSTRIAL</t>
  </si>
  <si>
    <t>RELAÇÃO DE PEÇAS</t>
  </si>
  <si>
    <t>Resumo de Custos e Parâmetros Técnicos para uso comercial</t>
  </si>
  <si>
    <t>DATA:</t>
  </si>
  <si>
    <t>ORÇAMENTO:</t>
  </si>
  <si>
    <t>RESUMOS</t>
  </si>
  <si>
    <t>VALOR TOTAL</t>
  </si>
  <si>
    <t>TOTAL DE PESO:</t>
  </si>
  <si>
    <t>VALOR TOTAL:</t>
  </si>
  <si>
    <t>PREÇO KG</t>
  </si>
  <si>
    <t xml:space="preserve">MARGEM </t>
  </si>
  <si>
    <t>TEMPO TOTAL</t>
  </si>
  <si>
    <t>PESO TOTAL (KG)</t>
  </si>
  <si>
    <t>DADOS DA PEÇA E PRODUÇÃO</t>
  </si>
  <si>
    <t>OBSERVAÇÕES
OBS SOBRE A PRODUÇÃO:</t>
  </si>
  <si>
    <t>DATA: 02/04/2026</t>
  </si>
  <si>
    <t>Fatores de tempo</t>
  </si>
  <si>
    <t>col_true_or_false</t>
  </si>
  <si>
    <t>total_ch_sucata</t>
  </si>
  <si>
    <t>fator_ch_sucata</t>
  </si>
  <si>
    <t>Faixa de peso</t>
  </si>
  <si>
    <t>2-5 kg</t>
  </si>
  <si>
    <t>50+ kg</t>
  </si>
  <si>
    <t>10-20 kg</t>
  </si>
  <si>
    <t>20-50 kg</t>
  </si>
  <si>
    <t>5-10 kg</t>
  </si>
  <si>
    <t>0-2 kg</t>
  </si>
  <si>
    <t>TEMPO_DE_CORTE_TOTAL</t>
  </si>
  <si>
    <t>TEMPO_DE_TOTAL_PROGRAMAÇÃO</t>
  </si>
  <si>
    <t>TEMPO_TOTAL_P_PC_CORTE</t>
  </si>
  <si>
    <t>TEMPO_TOTAL_P_PC_RECOLHIMENTO</t>
  </si>
  <si>
    <t>M4T-TESTE1</t>
  </si>
  <si>
    <t>CLIENTE: M4T-TESTE1</t>
  </si>
  <si>
    <t>ORÇAMENTO: 3346</t>
  </si>
  <si>
    <t>TOTAL ESP. 6,35</t>
  </si>
  <si>
    <t>MÁQUINA: GUILHOTINA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</si>
</sst>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#,##0.00000"/>
    <numFmt numFmtId="166" formatCode="_-&quot;R$&quot;\ * #,##0.0000_-;\-&quot;R$&quot;\ * #,##0.0000_-;_-&quot;R$&quot;\ * &quot;-&quot;??_-;_-@_-"/>
    <numFmt numFmtId="167" formatCode="0.0%"/>
    <numFmt numFmtId="168" formatCode="&quot;R$&quot;\ #,##0.000"/>
    <numFmt numFmtId="169" formatCode="&quot;R$&quot;\ #,##0.0000"/>
    <numFmt numFmtId="170" formatCode="#,##0.00\ &quot;kg&quot;"/>
    <numFmt numFmtId="171" formatCode="&quot;R$&quot;\ #,##0.00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scadia Code"/>
      <family val="3"/>
    </font>
    <font>
      <sz val="11"/>
      <name val="Cascadia Code"/>
      <family val="3"/>
    </font>
    <font>
      <b/>
      <sz val="11"/>
      <name val="Cascadia Code"/>
      <family val="3"/>
    </font>
    <font>
      <sz val="11"/>
      <color rgb="FFFF0000"/>
      <name val="Cascadia Code"/>
      <family val="3"/>
    </font>
    <font>
      <b/>
      <sz val="14"/>
      <color theme="1"/>
      <name val="Cascadia Code"/>
      <family val="3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scadia Code"/>
      <family val="3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scadia Code"/>
      <family val="3"/>
    </font>
    <font>
      <sz val="9"/>
      <color theme="1"/>
      <name val="Cascadia Code"/>
      <family val="3"/>
    </font>
    <font>
      <b/>
      <sz val="8"/>
      <color theme="1"/>
      <name val="Cascadia Code"/>
      <family val="3"/>
    </font>
    <font>
      <sz val="8"/>
      <name val="Cascadia Code"/>
      <family val="3"/>
    </font>
    <font>
      <b/>
      <sz val="11"/>
      <color theme="1"/>
      <name val="Cascadia Code"/>
      <family val="3"/>
    </font>
    <font>
      <b/>
      <sz val="10"/>
      <color theme="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CE6F5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0"/>
      <color theme="1"/>
      <name val="Cascadia Code"/>
      <family val="3"/>
    </font>
    <font>
      <sz val="10"/>
      <color theme="1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0"/>
      <color rgb="FF44546A"/>
      <name val="Calibri"/>
      <family val="2"/>
      <scheme val="minor"/>
    </font>
    <font>
      <b/>
      <sz val="10"/>
      <color rgb="FF373737"/>
      <name val="Calibri"/>
      <family val="2"/>
      <scheme val="minor"/>
    </font>
    <font>
      <b/>
      <sz val="8"/>
      <name val="Cascadia Code"/>
      <family val="3"/>
    </font>
    <font>
      <sz val="8"/>
      <color theme="0"/>
      <name val="Cascadia Code"/>
      <family val="3"/>
    </font>
    <font>
      <b/>
      <sz val="8"/>
      <name val="Arial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8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52554"/>
        <bgColor indexed="64"/>
      </patternFill>
    </fill>
    <fill>
      <patternFill patternType="solid">
        <fgColor rgb="FF0A30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0A3063"/>
      </left>
      <right style="thin">
        <color rgb="FF0A3063"/>
      </right>
      <top style="thin">
        <color rgb="FF0A3063"/>
      </top>
      <bottom style="thin">
        <color rgb="FF0A306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medium">
        <color rgb="FF787878"/>
      </left>
      <right style="thin">
        <color rgb="FF969696"/>
      </right>
      <top style="medium">
        <color rgb="FF787878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 style="thin">
        <color rgb="FF969696"/>
      </bottom>
      <diagonal/>
    </border>
    <border>
      <left style="thin">
        <color rgb="FF969696"/>
      </left>
      <right style="medium">
        <color rgb="FF787878"/>
      </right>
      <top style="medium">
        <color rgb="FF787878"/>
      </top>
      <bottom style="thin">
        <color rgb="FF969696"/>
      </bottom>
      <diagonal/>
    </border>
    <border>
      <left style="medium">
        <color rgb="FF787878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medium">
        <color rgb="FF787878"/>
      </right>
      <top style="thin">
        <color rgb="FFD2D2D2"/>
      </top>
      <bottom style="thin">
        <color rgb="FFD2D2D2"/>
      </bottom>
      <diagonal/>
    </border>
    <border>
      <left style="medium">
        <color rgb="FF787878"/>
      </left>
      <right style="thin">
        <color rgb="FFD2D2D2"/>
      </right>
      <top style="thin">
        <color rgb="FFD2D2D2"/>
      </top>
      <bottom style="medium">
        <color rgb="FF787878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medium">
        <color rgb="FF787878"/>
      </bottom>
      <diagonal/>
    </border>
    <border>
      <left style="thin">
        <color rgb="FFD2D2D2"/>
      </left>
      <right style="medium">
        <color rgb="FF787878"/>
      </right>
      <top style="thin">
        <color rgb="FFD2D2D2"/>
      </top>
      <bottom style="medium">
        <color rgb="FF787878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3">
    <xf numFmtId="0" fontId="0" fillId="0" borderId="0" xfId="0"/>
    <xf numFmtId="0" fontId="3" fillId="0" borderId="0" xfId="0" applyFont="1"/>
    <xf numFmtId="0" fontId="4" fillId="0" borderId="19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9" fontId="5" fillId="0" borderId="20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2" xfId="0" applyFont="1" applyBorder="1"/>
    <xf numFmtId="44" fontId="4" fillId="14" borderId="22" xfId="1" applyFont="1" applyFill="1" applyBorder="1"/>
    <xf numFmtId="44" fontId="5" fillId="14" borderId="22" xfId="1" applyFont="1" applyFill="1" applyBorder="1"/>
    <xf numFmtId="165" fontId="4" fillId="0" borderId="23" xfId="0" applyNumberFormat="1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10" fontId="4" fillId="14" borderId="25" xfId="0" applyNumberFormat="1" applyFont="1" applyFill="1" applyBorder="1" applyAlignment="1">
      <alignment horizontal="center"/>
    </xf>
    <xf numFmtId="0" fontId="4" fillId="0" borderId="25" xfId="0" applyFont="1" applyBorder="1"/>
    <xf numFmtId="166" fontId="4" fillId="0" borderId="25" xfId="0" applyNumberFormat="1" applyFont="1" applyBorder="1"/>
    <xf numFmtId="166" fontId="4" fillId="0" borderId="26" xfId="0" applyNumberFormat="1" applyFont="1" applyBorder="1"/>
    <xf numFmtId="165" fontId="5" fillId="0" borderId="27" xfId="0" applyNumberFormat="1" applyFont="1" applyBorder="1" applyAlignment="1">
      <alignment horizontal="center"/>
    </xf>
    <xf numFmtId="10" fontId="4" fillId="0" borderId="28" xfId="0" applyNumberFormat="1" applyFont="1" applyBorder="1" applyAlignment="1">
      <alignment horizontal="center"/>
    </xf>
    <xf numFmtId="10" fontId="4" fillId="14" borderId="1" xfId="0" applyNumberFormat="1" applyFont="1" applyFill="1" applyBorder="1" applyAlignment="1">
      <alignment horizontal="center"/>
    </xf>
    <xf numFmtId="0" fontId="4" fillId="0" borderId="1" xfId="0" applyFont="1" applyBorder="1"/>
    <xf numFmtId="166" fontId="4" fillId="0" borderId="1" xfId="0" applyNumberFormat="1" applyFont="1" applyBorder="1"/>
    <xf numFmtId="166" fontId="4" fillId="0" borderId="23" xfId="0" applyNumberFormat="1" applyFont="1" applyBorder="1"/>
    <xf numFmtId="165" fontId="4" fillId="0" borderId="27" xfId="0" applyNumberFormat="1" applyFont="1" applyBorder="1" applyAlignment="1">
      <alignment horizontal="center"/>
    </xf>
    <xf numFmtId="9" fontId="4" fillId="0" borderId="29" xfId="0" applyNumberFormat="1" applyFont="1" applyBorder="1" applyAlignment="1">
      <alignment horizontal="center"/>
    </xf>
    <xf numFmtId="9" fontId="5" fillId="14" borderId="30" xfId="0" applyNumberFormat="1" applyFont="1" applyFill="1" applyBorder="1" applyAlignment="1">
      <alignment horizontal="center"/>
    </xf>
    <xf numFmtId="0" fontId="4" fillId="0" borderId="30" xfId="0" applyFont="1" applyBorder="1"/>
    <xf numFmtId="166" fontId="4" fillId="0" borderId="30" xfId="0" applyNumberFormat="1" applyFont="1" applyBorder="1"/>
    <xf numFmtId="166" fontId="4" fillId="0" borderId="31" xfId="0" applyNumberFormat="1" applyFont="1" applyBorder="1"/>
    <xf numFmtId="9" fontId="4" fillId="0" borderId="32" xfId="0" applyNumberFormat="1" applyFont="1" applyBorder="1" applyAlignment="1">
      <alignment horizontal="center"/>
    </xf>
    <xf numFmtId="9" fontId="5" fillId="0" borderId="2" xfId="0" applyNumberFormat="1" applyFont="1" applyBorder="1" applyAlignment="1">
      <alignment horizontal="center"/>
    </xf>
    <xf numFmtId="44" fontId="4" fillId="0" borderId="2" xfId="1" applyFont="1" applyBorder="1" applyAlignment="1">
      <alignment horizontal="left"/>
    </xf>
    <xf numFmtId="44" fontId="4" fillId="0" borderId="2" xfId="0" applyNumberFormat="1" applyFont="1" applyBorder="1"/>
    <xf numFmtId="0" fontId="3" fillId="0" borderId="3" xfId="0" applyFont="1" applyBorder="1"/>
    <xf numFmtId="10" fontId="4" fillId="14" borderId="5" xfId="0" applyNumberFormat="1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44" fontId="4" fillId="0" borderId="1" xfId="1" applyFont="1" applyBorder="1"/>
    <xf numFmtId="165" fontId="6" fillId="0" borderId="23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4" fontId="4" fillId="14" borderId="1" xfId="1" applyFont="1" applyFill="1" applyBorder="1"/>
    <xf numFmtId="167" fontId="5" fillId="14" borderId="5" xfId="0" applyNumberFormat="1" applyFont="1" applyFill="1" applyBorder="1" applyAlignment="1">
      <alignment horizontal="center"/>
    </xf>
    <xf numFmtId="0" fontId="4" fillId="0" borderId="19" xfId="0" applyFont="1" applyBorder="1"/>
    <xf numFmtId="0" fontId="4" fillId="0" borderId="33" xfId="0" applyFont="1" applyBorder="1"/>
    <xf numFmtId="0" fontId="4" fillId="0" borderId="0" xfId="0" applyFont="1"/>
    <xf numFmtId="166" fontId="5" fillId="0" borderId="34" xfId="1" applyNumberFormat="1" applyFont="1" applyBorder="1" applyAlignment="1">
      <alignment horizontal="center"/>
    </xf>
    <xf numFmtId="0" fontId="4" fillId="0" borderId="35" xfId="0" applyFont="1" applyBorder="1"/>
    <xf numFmtId="0" fontId="4" fillId="0" borderId="36" xfId="0" applyFont="1" applyBorder="1"/>
    <xf numFmtId="0" fontId="5" fillId="0" borderId="3" xfId="0" applyFont="1" applyBorder="1"/>
    <xf numFmtId="44" fontId="5" fillId="0" borderId="6" xfId="1" applyFont="1" applyBorder="1"/>
    <xf numFmtId="0" fontId="5" fillId="0" borderId="6" xfId="0" applyFont="1" applyBorder="1" applyAlignment="1">
      <alignment horizontal="center"/>
    </xf>
    <xf numFmtId="10" fontId="5" fillId="0" borderId="7" xfId="2" applyNumberFormat="1" applyFont="1" applyBorder="1" applyAlignment="1">
      <alignment horizontal="center"/>
    </xf>
    <xf numFmtId="0" fontId="7" fillId="0" borderId="0" xfId="0" applyFont="1"/>
    <xf numFmtId="0" fontId="8" fillId="0" borderId="3" xfId="0" applyFont="1" applyBorder="1" applyAlignment="1">
      <alignment horizontal="centerContinuous"/>
    </xf>
    <xf numFmtId="0" fontId="9" fillId="0" borderId="6" xfId="0" applyFont="1" applyBorder="1" applyAlignment="1">
      <alignment horizontal="centerContinuous"/>
    </xf>
    <xf numFmtId="0" fontId="10" fillId="0" borderId="6" xfId="0" applyFont="1" applyBorder="1" applyAlignment="1">
      <alignment horizontal="centerContinuous"/>
    </xf>
    <xf numFmtId="0" fontId="10" fillId="0" borderId="7" xfId="0" applyFont="1" applyBorder="1" applyAlignment="1">
      <alignment horizontal="centerContinuous"/>
    </xf>
    <xf numFmtId="0" fontId="11" fillId="15" borderId="37" xfId="0" applyFont="1" applyFill="1" applyBorder="1" applyAlignment="1">
      <alignment horizontal="center"/>
    </xf>
    <xf numFmtId="0" fontId="11" fillId="15" borderId="8" xfId="0" applyFont="1" applyFill="1" applyBorder="1" applyAlignment="1">
      <alignment horizontal="center"/>
    </xf>
    <xf numFmtId="0" fontId="11" fillId="15" borderId="38" xfId="0" applyFont="1" applyFill="1" applyBorder="1" applyAlignment="1">
      <alignment horizontal="center"/>
    </xf>
    <xf numFmtId="10" fontId="11" fillId="15" borderId="16" xfId="0" applyNumberFormat="1" applyFont="1" applyFill="1" applyBorder="1" applyAlignment="1">
      <alignment horizontal="center"/>
    </xf>
    <xf numFmtId="9" fontId="11" fillId="15" borderId="17" xfId="0" applyNumberFormat="1" applyFont="1" applyFill="1" applyBorder="1" applyAlignment="1">
      <alignment horizontal="center"/>
    </xf>
    <xf numFmtId="10" fontId="11" fillId="15" borderId="17" xfId="0" applyNumberFormat="1" applyFont="1" applyFill="1" applyBorder="1" applyAlignment="1">
      <alignment horizontal="center"/>
    </xf>
    <xf numFmtId="10" fontId="11" fillId="15" borderId="18" xfId="0" applyNumberFormat="1" applyFont="1" applyFill="1" applyBorder="1" applyAlignment="1">
      <alignment horizontal="center"/>
    </xf>
    <xf numFmtId="0" fontId="11" fillId="14" borderId="37" xfId="0" applyFont="1" applyFill="1" applyBorder="1" applyAlignment="1">
      <alignment horizontal="center"/>
    </xf>
    <xf numFmtId="0" fontId="11" fillId="14" borderId="8" xfId="0" applyFont="1" applyFill="1" applyBorder="1" applyAlignment="1">
      <alignment horizontal="center"/>
    </xf>
    <xf numFmtId="0" fontId="11" fillId="14" borderId="38" xfId="0" applyFont="1" applyFill="1" applyBorder="1" applyAlignment="1">
      <alignment horizontal="center"/>
    </xf>
    <xf numFmtId="10" fontId="11" fillId="14" borderId="16" xfId="0" applyNumberFormat="1" applyFont="1" applyFill="1" applyBorder="1" applyAlignment="1">
      <alignment horizontal="center"/>
    </xf>
    <xf numFmtId="9" fontId="11" fillId="14" borderId="17" xfId="0" applyNumberFormat="1" applyFont="1" applyFill="1" applyBorder="1" applyAlignment="1">
      <alignment horizontal="center"/>
    </xf>
    <xf numFmtId="10" fontId="11" fillId="14" borderId="17" xfId="0" applyNumberFormat="1" applyFont="1" applyFill="1" applyBorder="1" applyAlignment="1">
      <alignment horizontal="center"/>
    </xf>
    <xf numFmtId="10" fontId="11" fillId="14" borderId="18" xfId="0" applyNumberFormat="1" applyFont="1" applyFill="1" applyBorder="1" applyAlignment="1">
      <alignment horizontal="center"/>
    </xf>
    <xf numFmtId="0" fontId="0" fillId="0" borderId="4" xfId="0" applyBorder="1"/>
    <xf numFmtId="0" fontId="0" fillId="0" borderId="14" xfId="0" applyBorder="1"/>
    <xf numFmtId="44" fontId="1" fillId="0" borderId="15" xfId="1" applyBorder="1"/>
    <xf numFmtId="0" fontId="0" fillId="0" borderId="33" xfId="0" applyBorder="1"/>
    <xf numFmtId="0" fontId="0" fillId="0" borderId="0" xfId="0" applyBorder="1"/>
    <xf numFmtId="44" fontId="1" fillId="0" borderId="39" xfId="1" applyBorder="1"/>
    <xf numFmtId="0" fontId="2" fillId="0" borderId="3" xfId="0" applyFont="1" applyBorder="1"/>
    <xf numFmtId="0" fontId="2" fillId="0" borderId="6" xfId="0" applyFont="1" applyBorder="1"/>
    <xf numFmtId="44" fontId="2" fillId="0" borderId="7" xfId="0" applyNumberFormat="1" applyFont="1" applyBorder="1"/>
    <xf numFmtId="0" fontId="15" fillId="0" borderId="0" xfId="0" applyFont="1"/>
    <xf numFmtId="0" fontId="16" fillId="0" borderId="0" xfId="0" applyFont="1"/>
    <xf numFmtId="0" fontId="17" fillId="17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49" fontId="15" fillId="4" borderId="1" xfId="0" applyNumberFormat="1" applyFont="1" applyFill="1" applyBorder="1" applyAlignment="1">
      <alignment horizontal="center" vertical="center"/>
    </xf>
    <xf numFmtId="44" fontId="15" fillId="16" borderId="1" xfId="0" applyNumberFormat="1" applyFont="1" applyFill="1" applyBorder="1" applyAlignment="1">
      <alignment horizontal="center" vertical="center"/>
    </xf>
    <xf numFmtId="1" fontId="15" fillId="5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/>
    </xf>
    <xf numFmtId="2" fontId="15" fillId="5" borderId="1" xfId="0" applyNumberFormat="1" applyFont="1" applyFill="1" applyBorder="1" applyAlignment="1">
      <alignment horizontal="center" vertical="center"/>
    </xf>
    <xf numFmtId="49" fontId="15" fillId="16" borderId="1" xfId="0" applyNumberFormat="1" applyFont="1" applyFill="1" applyBorder="1" applyAlignment="1">
      <alignment horizontal="center" vertical="center"/>
    </xf>
    <xf numFmtId="46" fontId="14" fillId="18" borderId="6" xfId="0" applyNumberFormat="1" applyFont="1" applyFill="1" applyBorder="1"/>
    <xf numFmtId="46" fontId="14" fillId="18" borderId="7" xfId="0" applyNumberFormat="1" applyFont="1" applyFill="1" applyBorder="1"/>
    <xf numFmtId="0" fontId="15" fillId="0" borderId="1" xfId="0" applyFont="1" applyBorder="1"/>
    <xf numFmtId="2" fontId="15" fillId="0" borderId="1" xfId="0" applyNumberFormat="1" applyFont="1" applyBorder="1"/>
    <xf numFmtId="0" fontId="13" fillId="0" borderId="1" xfId="0" applyFont="1" applyBorder="1"/>
    <xf numFmtId="0" fontId="17" fillId="0" borderId="0" xfId="0" applyFont="1"/>
    <xf numFmtId="0" fontId="2" fillId="0" borderId="0" xfId="0" applyFont="1"/>
    <xf numFmtId="0" fontId="19" fillId="0" borderId="0" xfId="0" applyFont="1"/>
    <xf numFmtId="1" fontId="15" fillId="3" borderId="1" xfId="0" applyNumberFormat="1" applyFont="1" applyFill="1" applyBorder="1" applyAlignment="1">
      <alignment horizontal="center" vertical="center"/>
    </xf>
    <xf numFmtId="164" fontId="15" fillId="16" borderId="1" xfId="0" applyNumberFormat="1" applyFont="1" applyFill="1" applyBorder="1" applyAlignment="1">
      <alignment horizontal="center" vertical="center"/>
    </xf>
    <xf numFmtId="168" fontId="15" fillId="16" borderId="1" xfId="0" applyNumberFormat="1" applyFont="1" applyFill="1" applyBorder="1" applyAlignment="1">
      <alignment horizontal="center" vertical="center"/>
    </xf>
    <xf numFmtId="169" fontId="15" fillId="16" borderId="1" xfId="0" applyNumberFormat="1" applyFont="1" applyFill="1" applyBorder="1" applyAlignment="1">
      <alignment horizontal="center" vertical="center"/>
    </xf>
    <xf numFmtId="169" fontId="15" fillId="8" borderId="1" xfId="0" applyNumberFormat="1" applyFont="1" applyFill="1" applyBorder="1"/>
    <xf numFmtId="10" fontId="15" fillId="16" borderId="1" xfId="0" applyNumberFormat="1" applyFont="1" applyFill="1" applyBorder="1" applyAlignment="1">
      <alignment horizontal="center" vertical="center"/>
    </xf>
    <xf numFmtId="2" fontId="15" fillId="8" borderId="1" xfId="0" applyNumberFormat="1" applyFont="1" applyFill="1" applyBorder="1" applyAlignment="1">
      <alignment horizontal="center" vertical="center"/>
    </xf>
    <xf numFmtId="4" fontId="12" fillId="2" borderId="1" xfId="0" applyNumberFormat="1" applyFont="1" applyFill="1" applyBorder="1" applyAlignment="1">
      <alignment horizontal="center" vertical="center"/>
    </xf>
    <xf numFmtId="2" fontId="12" fillId="2" borderId="1" xfId="0" applyNumberFormat="1" applyFont="1" applyFill="1" applyBorder="1" applyAlignment="1">
      <alignment horizontal="center" vertical="center"/>
    </xf>
    <xf numFmtId="2" fontId="17" fillId="17" borderId="1" xfId="0" applyNumberFormat="1" applyFont="1" applyFill="1" applyBorder="1" applyAlignment="1">
      <alignment horizontal="center" vertical="center" wrapText="1"/>
    </xf>
    <xf numFmtId="0" fontId="21" fillId="19" borderId="0" xfId="0" applyFont="1" applyFill="1" applyAlignment="1">
      <alignment horizontal="center" vertical="center"/>
    </xf>
    <xf numFmtId="0" fontId="26" fillId="19" borderId="0" xfId="0" applyFont="1" applyFill="1" applyAlignment="1">
      <alignment horizontal="center" vertical="center"/>
    </xf>
    <xf numFmtId="2" fontId="15" fillId="0" borderId="0" xfId="0" applyNumberFormat="1" applyFont="1"/>
    <xf numFmtId="4" fontId="12" fillId="2" borderId="12" xfId="0" applyNumberFormat="1" applyFont="1" applyFill="1" applyBorder="1" applyAlignment="1">
      <alignment horizontal="center" vertical="center"/>
    </xf>
    <xf numFmtId="2" fontId="17" fillId="17" borderId="12" xfId="0" applyNumberFormat="1" applyFont="1" applyFill="1" applyBorder="1" applyAlignment="1">
      <alignment horizontal="center" vertical="center" wrapText="1"/>
    </xf>
    <xf numFmtId="43" fontId="15" fillId="5" borderId="1" xfId="3" applyFont="1" applyFill="1" applyBorder="1" applyAlignment="1">
      <alignment horizontal="center" vertical="center"/>
    </xf>
    <xf numFmtId="0" fontId="26" fillId="15" borderId="0" xfId="0" applyFont="1" applyFill="1" applyAlignment="1">
      <alignment horizontal="center" vertical="center"/>
    </xf>
    <xf numFmtId="164" fontId="17" fillId="0" borderId="7" xfId="3" applyNumberFormat="1" applyFont="1" applyBorder="1"/>
    <xf numFmtId="43" fontId="17" fillId="17" borderId="7" xfId="3" applyFont="1" applyFill="1" applyBorder="1"/>
    <xf numFmtId="164" fontId="17" fillId="17" borderId="7" xfId="3" applyNumberFormat="1" applyFont="1" applyFill="1" applyBorder="1"/>
    <xf numFmtId="0" fontId="28" fillId="0" borderId="0" xfId="0" applyFont="1" applyAlignment="1">
      <alignment horizontal="center" vertical="center"/>
    </xf>
    <xf numFmtId="7" fontId="28" fillId="0" borderId="0" xfId="0" applyNumberFormat="1" applyFont="1" applyAlignment="1">
      <alignment horizontal="center" vertical="center"/>
    </xf>
    <xf numFmtId="0" fontId="32" fillId="22" borderId="44" xfId="0" applyFont="1" applyFill="1" applyBorder="1" applyAlignment="1">
      <alignment horizontal="center" vertical="center" wrapText="1"/>
    </xf>
    <xf numFmtId="0" fontId="32" fillId="22" borderId="45" xfId="0" applyFont="1" applyFill="1" applyBorder="1" applyAlignment="1">
      <alignment horizontal="center" vertical="center" wrapText="1"/>
    </xf>
    <xf numFmtId="0" fontId="20" fillId="22" borderId="49" xfId="0" applyFont="1" applyFill="1" applyBorder="1" applyAlignment="1">
      <alignment horizontal="center" vertical="center"/>
    </xf>
    <xf numFmtId="0" fontId="20" fillId="22" borderId="50" xfId="0" applyFont="1" applyFill="1" applyBorder="1" applyAlignment="1">
      <alignment horizontal="center" vertical="center"/>
    </xf>
    <xf numFmtId="4" fontId="20" fillId="22" borderId="50" xfId="0" applyNumberFormat="1" applyFont="1" applyFill="1" applyBorder="1" applyAlignment="1">
      <alignment horizontal="center" vertical="center"/>
    </xf>
    <xf numFmtId="0" fontId="28" fillId="23" borderId="47" xfId="0" applyFont="1" applyFill="1" applyBorder="1" applyAlignment="1">
      <alignment horizontal="center" vertical="center"/>
    </xf>
    <xf numFmtId="0" fontId="28" fillId="23" borderId="43" xfId="0" applyFont="1" applyFill="1" applyBorder="1" applyAlignment="1">
      <alignment horizontal="center" vertical="center"/>
    </xf>
    <xf numFmtId="3" fontId="32" fillId="22" borderId="45" xfId="0" applyNumberFormat="1" applyFont="1" applyFill="1" applyBorder="1" applyAlignment="1">
      <alignment horizontal="center" vertical="center" wrapText="1"/>
    </xf>
    <xf numFmtId="3" fontId="28" fillId="23" borderId="43" xfId="0" applyNumberFormat="1" applyFont="1" applyFill="1" applyBorder="1" applyAlignment="1">
      <alignment horizontal="center" vertical="center"/>
    </xf>
    <xf numFmtId="3" fontId="20" fillId="22" borderId="50" xfId="0" applyNumberFormat="1" applyFont="1" applyFill="1" applyBorder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4" fontId="32" fillId="22" borderId="45" xfId="0" applyNumberFormat="1" applyFont="1" applyFill="1" applyBorder="1" applyAlignment="1">
      <alignment horizontal="center" vertical="center" wrapText="1"/>
    </xf>
    <xf numFmtId="4" fontId="28" fillId="23" borderId="43" xfId="0" applyNumberFormat="1" applyFont="1" applyFill="1" applyBorder="1" applyAlignment="1">
      <alignment horizontal="center" vertical="center"/>
    </xf>
    <xf numFmtId="4" fontId="28" fillId="0" borderId="0" xfId="0" applyNumberFormat="1" applyFont="1" applyAlignment="1">
      <alignment horizontal="center" vertical="center"/>
    </xf>
    <xf numFmtId="3" fontId="30" fillId="20" borderId="40" xfId="0" applyNumberFormat="1" applyFont="1" applyFill="1" applyBorder="1" applyAlignment="1">
      <alignment horizontal="center" vertical="center" wrapText="1"/>
    </xf>
    <xf numFmtId="4" fontId="30" fillId="20" borderId="40" xfId="0" applyNumberFormat="1" applyFont="1" applyFill="1" applyBorder="1" applyAlignment="1">
      <alignment horizontal="center" vertical="center" wrapText="1"/>
    </xf>
    <xf numFmtId="0" fontId="20" fillId="22" borderId="42" xfId="0" applyFont="1" applyFill="1" applyBorder="1" applyAlignment="1">
      <alignment horizontal="center" vertical="center"/>
    </xf>
    <xf numFmtId="0" fontId="20" fillId="22" borderId="42" xfId="0" applyFont="1" applyFill="1" applyBorder="1" applyAlignment="1">
      <alignment horizontal="center" vertical="center" wrapText="1"/>
    </xf>
    <xf numFmtId="0" fontId="30" fillId="20" borderId="40" xfId="0" applyFont="1" applyFill="1" applyBorder="1" applyAlignment="1">
      <alignment horizontal="center" vertical="center" wrapText="1"/>
    </xf>
    <xf numFmtId="10" fontId="17" fillId="0" borderId="15" xfId="3" applyNumberFormat="1" applyFont="1" applyBorder="1"/>
    <xf numFmtId="164" fontId="15" fillId="0" borderId="0" xfId="0" applyNumberFormat="1" applyFont="1"/>
    <xf numFmtId="2" fontId="3" fillId="0" borderId="0" xfId="0" applyNumberFormat="1" applyFont="1"/>
    <xf numFmtId="0" fontId="33" fillId="10" borderId="3" xfId="0" applyFont="1" applyFill="1" applyBorder="1" applyAlignment="1" applyProtection="1">
      <alignment horizontal="center" vertical="center"/>
      <protection hidden="1"/>
    </xf>
    <xf numFmtId="0" fontId="15" fillId="10" borderId="6" xfId="0" applyFont="1" applyFill="1" applyBorder="1"/>
    <xf numFmtId="0" fontId="15" fillId="10" borderId="7" xfId="0" applyFont="1" applyFill="1" applyBorder="1"/>
    <xf numFmtId="0" fontId="33" fillId="9" borderId="3" xfId="0" applyFont="1" applyFill="1" applyBorder="1" applyAlignment="1" applyProtection="1">
      <alignment horizontal="center" vertical="center"/>
      <protection hidden="1"/>
    </xf>
    <xf numFmtId="0" fontId="15" fillId="9" borderId="6" xfId="0" applyFont="1" applyFill="1" applyBorder="1"/>
    <xf numFmtId="0" fontId="15" fillId="9" borderId="7" xfId="0" applyFont="1" applyFill="1" applyBorder="1"/>
    <xf numFmtId="0" fontId="15" fillId="3" borderId="0" xfId="0" applyFont="1" applyFill="1" applyBorder="1"/>
    <xf numFmtId="0" fontId="11" fillId="12" borderId="4" xfId="0" applyFont="1" applyFill="1" applyBorder="1" applyAlignment="1" applyProtection="1">
      <alignment horizontal="center" vertical="center"/>
      <protection hidden="1"/>
    </xf>
    <xf numFmtId="0" fontId="15" fillId="12" borderId="14" xfId="0" applyFont="1" applyFill="1" applyBorder="1"/>
    <xf numFmtId="0" fontId="15" fillId="12" borderId="15" xfId="0" applyFont="1" applyFill="1" applyBorder="1"/>
    <xf numFmtId="0" fontId="18" fillId="0" borderId="0" xfId="0" applyFont="1" applyAlignment="1" applyProtection="1">
      <alignment horizontal="center" vertical="center"/>
      <protection hidden="1"/>
    </xf>
    <xf numFmtId="0" fontId="33" fillId="0" borderId="3" xfId="0" applyFont="1" applyBorder="1" applyAlignment="1" applyProtection="1">
      <alignment horizontal="center" vertical="center"/>
      <protection hidden="1"/>
    </xf>
    <xf numFmtId="0" fontId="11" fillId="0" borderId="7" xfId="0" applyFont="1" applyBorder="1" applyAlignment="1" applyProtection="1">
      <alignment horizontal="center" vertical="center"/>
      <protection hidden="1"/>
    </xf>
    <xf numFmtId="0" fontId="33" fillId="18" borderId="3" xfId="0" applyFont="1" applyFill="1" applyBorder="1" applyAlignment="1" applyProtection="1">
      <alignment horizontal="left" vertical="center"/>
      <protection hidden="1"/>
    </xf>
    <xf numFmtId="0" fontId="33" fillId="7" borderId="2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8" borderId="2" xfId="0" applyFont="1" applyFill="1" applyBorder="1" applyAlignment="1">
      <alignment horizontal="center" vertical="center" wrapText="1"/>
    </xf>
    <xf numFmtId="0" fontId="33" fillId="3" borderId="0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34" fillId="0" borderId="0" xfId="0" applyFont="1" applyAlignment="1" applyProtection="1">
      <alignment horizontal="center" vertical="center"/>
      <protection hidden="1"/>
    </xf>
    <xf numFmtId="0" fontId="35" fillId="11" borderId="1" xfId="0" applyFont="1" applyFill="1" applyBorder="1" applyAlignment="1">
      <alignment horizontal="center" vertical="center" wrapText="1"/>
    </xf>
    <xf numFmtId="164" fontId="35" fillId="11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Continuous"/>
    </xf>
    <xf numFmtId="0" fontId="13" fillId="0" borderId="6" xfId="0" applyFont="1" applyBorder="1" applyAlignment="1">
      <alignment horizontal="centerContinuous"/>
    </xf>
    <xf numFmtId="0" fontId="36" fillId="0" borderId="6" xfId="0" applyFont="1" applyBorder="1" applyAlignment="1">
      <alignment horizontal="centerContinuous"/>
    </xf>
    <xf numFmtId="0" fontId="36" fillId="0" borderId="7" xfId="0" applyFont="1" applyBorder="1" applyAlignment="1">
      <alignment horizontal="centerContinuous"/>
    </xf>
    <xf numFmtId="0" fontId="13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2" fontId="33" fillId="7" borderId="1" xfId="0" applyNumberFormat="1" applyFont="1" applyFill="1" applyBorder="1" applyAlignment="1">
      <alignment horizontal="center" vertical="center"/>
    </xf>
    <xf numFmtId="1" fontId="18" fillId="0" borderId="1" xfId="0" applyNumberFormat="1" applyFont="1" applyBorder="1" applyAlignment="1">
      <alignment horizontal="center" vertical="center"/>
    </xf>
    <xf numFmtId="2" fontId="33" fillId="8" borderId="1" xfId="0" applyNumberFormat="1" applyFont="1" applyFill="1" applyBorder="1" applyAlignment="1">
      <alignment horizontal="center" vertical="center"/>
    </xf>
    <xf numFmtId="1" fontId="18" fillId="3" borderId="0" xfId="0" applyNumberFormat="1" applyFont="1" applyFill="1" applyBorder="1" applyAlignment="1">
      <alignment horizontal="center" vertical="center"/>
    </xf>
    <xf numFmtId="2" fontId="11" fillId="8" borderId="1" xfId="0" applyNumberFormat="1" applyFont="1" applyFill="1" applyBorder="1" applyAlignment="1">
      <alignment horizontal="center" vertical="center"/>
    </xf>
    <xf numFmtId="1" fontId="36" fillId="0" borderId="1" xfId="0" applyNumberFormat="1" applyFont="1" applyBorder="1" applyAlignment="1">
      <alignment horizontal="center" vertical="center"/>
    </xf>
    <xf numFmtId="0" fontId="33" fillId="8" borderId="2" xfId="0" applyFont="1" applyFill="1" applyBorder="1" applyAlignment="1">
      <alignment vertical="center"/>
    </xf>
    <xf numFmtId="49" fontId="33" fillId="8" borderId="1" xfId="0" applyNumberFormat="1" applyFont="1" applyFill="1" applyBorder="1" applyAlignment="1">
      <alignment horizontal="center" vertical="center"/>
    </xf>
    <xf numFmtId="49" fontId="33" fillId="8" borderId="1" xfId="0" applyNumberFormat="1" applyFont="1" applyFill="1" applyBorder="1"/>
    <xf numFmtId="0" fontId="15" fillId="3" borderId="1" xfId="0" applyFont="1" applyFill="1" applyBorder="1"/>
    <xf numFmtId="0" fontId="14" fillId="8" borderId="1" xfId="0" applyFont="1" applyFill="1" applyBorder="1" applyAlignment="1">
      <alignment horizontal="center" vertical="center"/>
    </xf>
    <xf numFmtId="8" fontId="13" fillId="0" borderId="1" xfId="0" applyNumberFormat="1" applyFont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64" fontId="15" fillId="3" borderId="1" xfId="0" applyNumberFormat="1" applyFont="1" applyFill="1" applyBorder="1"/>
    <xf numFmtId="8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/>
    <xf numFmtId="0" fontId="13" fillId="0" borderId="14" xfId="0" applyFont="1" applyBorder="1"/>
    <xf numFmtId="44" fontId="13" fillId="0" borderId="15" xfId="1" applyFont="1" applyBorder="1"/>
    <xf numFmtId="0" fontId="11" fillId="8" borderId="12" xfId="0" applyFont="1" applyFill="1" applyBorder="1"/>
    <xf numFmtId="0" fontId="11" fillId="8" borderId="13" xfId="0" applyFont="1" applyFill="1" applyBorder="1"/>
    <xf numFmtId="0" fontId="13" fillId="0" borderId="33" xfId="0" applyFont="1" applyBorder="1"/>
    <xf numFmtId="0" fontId="13" fillId="0" borderId="0" xfId="0" applyFont="1" applyBorder="1"/>
    <xf numFmtId="44" fontId="13" fillId="0" borderId="39" xfId="1" applyFont="1" applyBorder="1"/>
    <xf numFmtId="0" fontId="13" fillId="0" borderId="0" xfId="0" applyFont="1"/>
    <xf numFmtId="0" fontId="11" fillId="8" borderId="1" xfId="0" applyFont="1" applyFill="1" applyBorder="1" applyAlignment="1">
      <alignment horizontal="center"/>
    </xf>
    <xf numFmtId="0" fontId="36" fillId="3" borderId="1" xfId="0" applyFont="1" applyFill="1" applyBorder="1" applyAlignment="1">
      <alignment horizontal="center"/>
    </xf>
    <xf numFmtId="0" fontId="14" fillId="0" borderId="3" xfId="0" applyFont="1" applyBorder="1"/>
    <xf numFmtId="0" fontId="14" fillId="0" borderId="6" xfId="0" applyFont="1" applyBorder="1"/>
    <xf numFmtId="44" fontId="14" fillId="0" borderId="7" xfId="0" applyNumberFormat="1" applyFont="1" applyBorder="1"/>
    <xf numFmtId="0" fontId="15" fillId="3" borderId="0" xfId="0" applyFont="1" applyFill="1"/>
    <xf numFmtId="0" fontId="15" fillId="0" borderId="13" xfId="0" applyFont="1" applyBorder="1"/>
    <xf numFmtId="0" fontId="15" fillId="0" borderId="0" xfId="0" applyFont="1" applyAlignment="1">
      <alignment horizontal="center"/>
    </xf>
    <xf numFmtId="0" fontId="14" fillId="8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33" fillId="8" borderId="8" xfId="0" applyFont="1" applyFill="1" applyBorder="1" applyAlignment="1">
      <alignment horizontal="center" vertical="center"/>
    </xf>
    <xf numFmtId="0" fontId="33" fillId="8" borderId="9" xfId="0" applyFont="1" applyFill="1" applyBorder="1" applyAlignment="1">
      <alignment horizontal="center" vertical="center"/>
    </xf>
    <xf numFmtId="0" fontId="33" fillId="8" borderId="10" xfId="0" applyFont="1" applyFill="1" applyBorder="1" applyAlignment="1">
      <alignment horizontal="center" vertical="center"/>
    </xf>
    <xf numFmtId="0" fontId="33" fillId="8" borderId="1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18" borderId="2" xfId="0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16" fontId="15" fillId="0" borderId="1" xfId="0" applyNumberFormat="1" applyFont="1" applyBorder="1" applyAlignment="1">
      <alignment horizontal="center"/>
    </xf>
    <xf numFmtId="21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46" fontId="12" fillId="3" borderId="0" xfId="0" applyNumberFormat="1" applyFont="1" applyFill="1" applyBorder="1" applyAlignment="1">
      <alignment horizontal="center"/>
    </xf>
    <xf numFmtId="43" fontId="34" fillId="0" borderId="0" xfId="3" applyFont="1" applyBorder="1"/>
    <xf numFmtId="0" fontId="34" fillId="0" borderId="0" xfId="0" applyFont="1" applyBorder="1"/>
    <xf numFmtId="0" fontId="26" fillId="19" borderId="0" xfId="0" applyFont="1" applyFill="1" applyAlignment="1">
      <alignment horizontal="center" vertical="center" wrapText="1"/>
    </xf>
    <xf numFmtId="46" fontId="15" fillId="0" borderId="0" xfId="0" applyNumberFormat="1" applyFont="1"/>
    <xf numFmtId="0" fontId="22" fillId="19" borderId="0" xfId="0" applyFont="1" applyFill="1" applyAlignment="1">
      <alignment horizontal="center" vertical="center" wrapText="1"/>
    </xf>
    <xf numFmtId="0" fontId="23" fillId="19" borderId="0" xfId="0" applyFont="1" applyFill="1" applyAlignment="1">
      <alignment horizontal="left"/>
    </xf>
    <xf numFmtId="0" fontId="24" fillId="19" borderId="0" xfId="0" applyFont="1" applyFill="1" applyAlignment="1">
      <alignment horizontal="right" vertical="center"/>
    </xf>
    <xf numFmtId="0" fontId="17" fillId="0" borderId="3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27" fillId="18" borderId="3" xfId="0" applyFont="1" applyFill="1" applyBorder="1" applyAlignment="1">
      <alignment horizontal="center"/>
    </xf>
    <xf numFmtId="0" fontId="27" fillId="18" borderId="6" xfId="0" applyFont="1" applyFill="1" applyBorder="1" applyAlignment="1">
      <alignment horizontal="center"/>
    </xf>
    <xf numFmtId="0" fontId="27" fillId="18" borderId="7" xfId="0" applyFont="1" applyFill="1" applyBorder="1" applyAlignment="1">
      <alignment horizontal="center"/>
    </xf>
    <xf numFmtId="14" fontId="24" fillId="19" borderId="0" xfId="0" applyNumberFormat="1" applyFont="1" applyFill="1" applyAlignment="1">
      <alignment horizontal="left" vertical="center"/>
    </xf>
    <xf numFmtId="0" fontId="24" fillId="19" borderId="0" xfId="0" applyFont="1" applyFill="1" applyAlignment="1">
      <alignment horizontal="left" vertical="center"/>
    </xf>
    <xf numFmtId="0" fontId="25" fillId="19" borderId="0" xfId="0" applyFont="1" applyFill="1" applyAlignment="1">
      <alignment horizontal="left" vertical="top"/>
    </xf>
    <xf numFmtId="0" fontId="17" fillId="17" borderId="3" xfId="0" applyFont="1" applyFill="1" applyBorder="1" applyAlignment="1">
      <alignment horizontal="center"/>
    </xf>
    <xf numFmtId="0" fontId="17" fillId="17" borderId="6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5" fillId="13" borderId="16" xfId="0" applyFont="1" applyFill="1" applyBorder="1" applyAlignment="1">
      <alignment horizontal="center"/>
    </xf>
    <xf numFmtId="0" fontId="5" fillId="13" borderId="17" xfId="0" applyFont="1" applyFill="1" applyBorder="1" applyAlignment="1">
      <alignment horizontal="center"/>
    </xf>
    <xf numFmtId="0" fontId="5" fillId="13" borderId="18" xfId="0" applyFont="1" applyFill="1" applyBorder="1" applyAlignment="1">
      <alignment horizontal="center"/>
    </xf>
    <xf numFmtId="0" fontId="21" fillId="20" borderId="40" xfId="0" applyFont="1" applyFill="1" applyBorder="1" applyAlignment="1">
      <alignment horizontal="left" vertical="center"/>
    </xf>
    <xf numFmtId="0" fontId="28" fillId="24" borderId="42" xfId="0" applyFont="1" applyFill="1" applyBorder="1" applyAlignment="1">
      <alignment horizontal="left" vertical="top" wrapText="1"/>
    </xf>
    <xf numFmtId="0" fontId="31" fillId="21" borderId="41" xfId="0" applyFont="1" applyFill="1" applyBorder="1" applyAlignment="1">
      <alignment horizontal="center" vertical="center"/>
    </xf>
    <xf numFmtId="21" fontId="8" fillId="21" borderId="41" xfId="0" applyNumberFormat="1" applyFont="1" applyFill="1" applyBorder="1" applyAlignment="1">
      <alignment horizontal="center" vertical="center"/>
    </xf>
    <xf numFmtId="0" fontId="8" fillId="21" borderId="41" xfId="0" applyFont="1" applyFill="1" applyBorder="1" applyAlignment="1">
      <alignment horizontal="center" vertical="center"/>
    </xf>
    <xf numFmtId="170" fontId="8" fillId="21" borderId="41" xfId="0" applyNumberFormat="1" applyFont="1" applyFill="1" applyBorder="1" applyAlignment="1">
      <alignment horizontal="center" vertical="center"/>
    </xf>
    <xf numFmtId="0" fontId="29" fillId="20" borderId="40" xfId="0" applyFont="1" applyFill="1" applyBorder="1" applyAlignment="1">
      <alignment horizontal="center" vertical="center" wrapText="1"/>
    </xf>
    <xf numFmtId="0" fontId="22" fillId="20" borderId="40" xfId="0" applyFont="1" applyFill="1" applyBorder="1" applyAlignment="1">
      <alignment horizontal="left" vertical="center" wrapText="1"/>
    </xf>
    <xf numFmtId="0" fontId="30" fillId="20" borderId="40" xfId="0" applyFont="1" applyFill="1" applyBorder="1" applyAlignment="1">
      <alignment horizontal="left" vertical="center" wrapText="1"/>
    </xf>
    <xf numFmtId="0" fontId="30" fillId="20" borderId="40" xfId="0" applyFont="1" applyFill="1" applyBorder="1" applyAlignment="1">
      <alignment horizontal="center" vertical="center" wrapText="1"/>
    </xf>
    <xf numFmtId="46" fontId="17" fillId="3" borderId="7" xfId="0" applyNumberFormat="1" applyFont="1" applyFill="1" applyBorder="1" applyAlignment="1">
      <alignment horizontal="right"/>
    </xf>
    <xf numFmtId="46" fontId="17" fillId="17" borderId="7" xfId="0" applyNumberFormat="1" applyFont="1" applyFill="1" applyBorder="1" applyAlignment="1">
      <alignment horizontal="right"/>
    </xf>
    <xf numFmtId="171" fontId="8" fillId="21" borderId="41" xfId="0" applyNumberFormat="1" applyFont="1" applyFill="1" applyBorder="1" applyAlignment="1">
      <alignment horizontal="center" vertical="center"/>
    </xf>
    <xf numFmtId="171" fontId="30" fillId="20" borderId="40" xfId="0" applyNumberFormat="1" applyFont="1" applyFill="1" applyBorder="1" applyAlignment="1">
      <alignment horizontal="center" vertical="center" wrapText="1"/>
    </xf>
    <xf numFmtId="171" fontId="32" fillId="22" borderId="45" xfId="0" applyNumberFormat="1" applyFont="1" applyFill="1" applyBorder="1" applyAlignment="1">
      <alignment horizontal="center" vertical="center" wrapText="1"/>
    </xf>
    <xf numFmtId="171" fontId="28" fillId="23" borderId="43" xfId="0" applyNumberFormat="1" applyFont="1" applyFill="1" applyBorder="1" applyAlignment="1">
      <alignment horizontal="center" vertical="center"/>
    </xf>
    <xf numFmtId="171" fontId="20" fillId="22" borderId="50" xfId="0" applyNumberFormat="1" applyFont="1" applyFill="1" applyBorder="1" applyAlignment="1">
      <alignment horizontal="center" vertical="center"/>
    </xf>
    <xf numFmtId="171" fontId="28" fillId="0" borderId="0" xfId="0" applyNumberFormat="1" applyFont="1" applyAlignment="1">
      <alignment horizontal="center" vertical="center"/>
    </xf>
    <xf numFmtId="171" fontId="32" fillId="22" borderId="46" xfId="0" applyNumberFormat="1" applyFont="1" applyFill="1" applyBorder="1" applyAlignment="1">
      <alignment horizontal="center" vertical="center" wrapText="1"/>
    </xf>
    <xf numFmtId="171" fontId="28" fillId="23" borderId="48" xfId="0" applyNumberFormat="1" applyFont="1" applyFill="1" applyBorder="1" applyAlignment="1">
      <alignment horizontal="center" vertical="center"/>
    </xf>
    <xf numFmtId="171" fontId="20" fillId="22" borderId="51" xfId="0" applyNumberFormat="1" applyFont="1" applyFill="1" applyBorder="1" applyAlignment="1">
      <alignment horizontal="center" vertical="center"/>
    </xf>
  </cellXfs>
  <cellStyles count="4">
    <cellStyle name="Moeda" xfId="1" builtinId="4"/>
    <cellStyle name="Normal" xfId="0" builtinId="0"/>
    <cellStyle name="Porcentagem" xfId="2" builtinId="5"/>
    <cellStyle name="Vírgula" xfId="3" builtinId="3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B050"/>
  </sheetPr>
  <dimension ref="A1:BF56"/>
  <sheetViews>
    <sheetView showGridLines="0" zoomScaleNormal="100" workbookViewId="0">
      <selection activeCell="E66" sqref="E66"/>
    </sheetView>
  </sheetViews>
  <sheetFormatPr defaultRowHeight="16.2" x14ac:dyDescent="0.35"/>
  <cols>
    <col min="1" max="2" width="11.44140625" style="82" bestFit="1" customWidth="1"/>
    <col min="3" max="3" width="8.33203125" style="82" customWidth="1"/>
    <col min="4" max="4" width="7.44140625" style="82" bestFit="1" customWidth="1"/>
    <col min="5" max="5" width="6.5546875" style="82" bestFit="1" customWidth="1"/>
    <col min="6" max="6" width="6.88671875" style="82" bestFit="1" customWidth="1"/>
    <col min="7" max="7" width="19.21875" style="82" customWidth="1"/>
    <col min="8" max="8" width="12.33203125" style="82" bestFit="1" customWidth="1"/>
    <col min="9" max="9" width="8.77734375" style="82" bestFit="1" customWidth="1"/>
    <col min="10" max="11" width="9.6640625" style="82" bestFit="1" customWidth="1"/>
    <col min="12" max="12" width="7.6640625" style="82" bestFit="1" customWidth="1"/>
    <col min="13" max="13" width="11.33203125" style="82" customWidth="1"/>
    <col min="14" max="14" width="10.77734375" style="82" customWidth="1"/>
    <col min="15" max="15" width="13.44140625" style="82" customWidth="1"/>
    <col min="16" max="16" width="8.77734375" style="82" bestFit="1" customWidth="1"/>
    <col min="17" max="17" width="12.5546875" style="82" bestFit="1" customWidth="1"/>
    <col min="18" max="18" width="9.44140625" style="82" bestFit="1" customWidth="1"/>
    <col min="19" max="19" width="9.6640625" style="82" bestFit="1" customWidth="1"/>
    <col min="20" max="20" width="15.77734375" style="82" bestFit="1" customWidth="1"/>
    <col min="21" max="21" width="13.6640625" style="82" bestFit="1" customWidth="1"/>
    <col min="22" max="22" width="8.77734375" style="82" bestFit="1" customWidth="1"/>
    <col min="23" max="23" width="10.33203125" style="82" bestFit="1" customWidth="1"/>
    <col min="24" max="24" width="14.33203125" style="82" bestFit="1" customWidth="1"/>
    <col min="25" max="25" width="16.109375" style="82" bestFit="1" customWidth="1"/>
    <col min="26" max="26" width="14" style="82" bestFit="1" customWidth="1"/>
    <col min="27" max="27" width="8.88671875" style="82" bestFit="1" customWidth="1"/>
    <col min="28" max="28" width="10.5546875" style="82" bestFit="1" customWidth="1"/>
    <col min="29" max="29" width="14.44140625" style="82" bestFit="1" customWidth="1"/>
    <col min="30" max="30" width="12.5546875" style="82" bestFit="1" customWidth="1"/>
    <col min="31" max="31" width="11.109375" style="82" bestFit="1" customWidth="1"/>
    <col min="32" max="32" width="17.6640625" style="82" bestFit="1" customWidth="1"/>
    <col min="33" max="33" width="12.33203125" style="82" bestFit="1" customWidth="1"/>
    <col min="34" max="34" width="13.33203125" style="82" bestFit="1" customWidth="1"/>
    <col min="35" max="35" width="12.6640625" style="82" bestFit="1" customWidth="1"/>
    <col min="36" max="36" width="11.33203125" style="82" bestFit="1" customWidth="1"/>
    <col min="37" max="37" width="17.6640625" bestFit="1" customWidth="1"/>
    <col min="38" max="38" width="16" bestFit="1" customWidth="1"/>
    <col min="39" max="39" width="13.6640625" style="82" bestFit="1" customWidth="1"/>
    <col min="40" max="40" width="8.44140625" style="1" bestFit="1" customWidth="1"/>
    <col min="41" max="41" width="7.88671875" bestFit="1" customWidth="1"/>
    <col min="42" max="42" width="11.77734375" customWidth="1"/>
    <col min="43" max="43" width="16.21875" bestFit="1" customWidth="1"/>
    <col min="44" max="44" width="7.6640625" style="82" bestFit="1" customWidth="1"/>
    <col min="45" max="45" width="7.5546875" style="1" bestFit="1" customWidth="1"/>
    <col min="46" max="46" width="8.77734375" style="1" customWidth="1"/>
    <col min="47" max="47" width="24.88671875" style="1" bestFit="1" customWidth="1"/>
    <col min="48" max="48" width="12.21875" style="1" bestFit="1" customWidth="1"/>
    <col min="49" max="49" width="17.33203125" style="1" bestFit="1" customWidth="1"/>
    <col min="51" max="51" width="9.5546875" style="1" bestFit="1" customWidth="1"/>
    <col min="52" max="57" width="8.88671875" style="1"/>
    <col min="59" max="16384" width="8.88671875" style="1"/>
  </cols>
  <sheetData>
    <row r="1" spans="1:51" ht="16.8" thickBot="1" x14ac:dyDescent="0.4">
      <c r="A1" s="108" t="s">
        <v>115</v>
      </c>
      <c r="B1" s="108" t="s">
        <v>114</v>
      </c>
      <c r="C1" s="108" t="s">
        <v>72</v>
      </c>
      <c r="D1" s="109" t="s">
        <v>112</v>
      </c>
      <c r="E1" s="114" t="s">
        <v>113</v>
      </c>
      <c r="F1" s="233" t="s">
        <v>168</v>
      </c>
      <c r="G1" s="234"/>
      <c r="H1" s="235"/>
    </row>
    <row r="2" spans="1:51" ht="16.8" thickBot="1" x14ac:dyDescent="0.4">
      <c r="A2" s="84">
        <v>0.12</v>
      </c>
      <c r="B2" s="84">
        <v>0.02</v>
      </c>
      <c r="C2" s="84">
        <v>0.26</v>
      </c>
      <c r="D2" s="110">
        <v>10</v>
      </c>
      <c r="E2" s="115" t="s">
        <v>92</v>
      </c>
      <c r="F2" s="239" t="s">
        <v>170</v>
      </c>
      <c r="G2" s="240"/>
      <c r="H2" s="119">
        <f>SUM(M14:M55)</f>
        <v>7.9756</v>
      </c>
    </row>
    <row r="3" spans="1:51" ht="16.2" customHeight="1" thickBot="1" x14ac:dyDescent="0.4">
      <c r="F3" s="231" t="s">
        <v>171</v>
      </c>
      <c r="G3" s="232"/>
      <c r="H3" s="118">
        <f>SUM(Q14:Q19)</f>
        <v>79.800000000000011</v>
      </c>
    </row>
    <row r="4" spans="1:51" ht="16.2" customHeight="1" thickBot="1" x14ac:dyDescent="0.4">
      <c r="F4" s="239" t="s">
        <v>172</v>
      </c>
      <c r="G4" s="240"/>
      <c r="H4" s="120">
        <f>D2</f>
        <v>10</v>
      </c>
    </row>
    <row r="5" spans="1:51" ht="16.2" customHeight="1" thickBot="1" x14ac:dyDescent="0.4">
      <c r="A5" s="227"/>
      <c r="F5" s="241" t="s">
        <v>173</v>
      </c>
      <c r="G5" s="242"/>
      <c r="H5" s="142">
        <f>SUMPRODUCT(AG14:AG53, M14:M53) / SUM(Q14:Q53)</f>
        <v>0.26572217082658212</v>
      </c>
    </row>
    <row r="6" spans="1:51" ht="16.2" customHeight="1" thickBot="1" x14ac:dyDescent="0.4">
      <c r="F6" s="239" t="s">
        <v>190</v>
      </c>
      <c r="G6" s="240"/>
      <c r="H6" s="263">
        <f>I6</f>
        <v>7.2621641249092232E-5</v>
      </c>
      <c r="I6" s="223">
        <f>J6/1440</f>
        <v>7.2621641249092232E-5</v>
      </c>
      <c r="J6" s="224">
        <f>SUM(N14:N19)</f>
        <v>0.10457516339869281</v>
      </c>
      <c r="K6" s="225"/>
    </row>
    <row r="7" spans="1:51" ht="16.2" customHeight="1" thickBot="1" x14ac:dyDescent="0.4">
      <c r="F7" s="231" t="s">
        <v>191</v>
      </c>
      <c r="G7" s="232"/>
      <c r="H7" s="262">
        <f>I7</f>
        <v>1.8012436456063905E-2</v>
      </c>
      <c r="I7" s="223">
        <f>J7/1440</f>
        <v>1.8012436456063905E-2</v>
      </c>
      <c r="J7" s="224">
        <f>K7+AUXILIAR!AK3</f>
        <v>25.937908496732025</v>
      </c>
      <c r="K7" s="224">
        <f>SUM(O14:O19)</f>
        <v>5.9379084967320255</v>
      </c>
    </row>
    <row r="8" spans="1:51" ht="16.2" customHeight="1" x14ac:dyDescent="0.35">
      <c r="A8" s="228" t="s">
        <v>163</v>
      </c>
      <c r="B8" s="228"/>
      <c r="C8" s="228"/>
      <c r="D8" s="229" t="s">
        <v>164</v>
      </c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111"/>
      <c r="R8" s="111"/>
      <c r="S8" s="111"/>
      <c r="T8" s="111"/>
      <c r="U8" s="111"/>
      <c r="V8" s="111"/>
      <c r="W8" s="111"/>
      <c r="X8" s="111"/>
    </row>
    <row r="9" spans="1:51" ht="16.2" customHeight="1" x14ac:dyDescent="0.35">
      <c r="A9" s="228"/>
      <c r="B9" s="228"/>
      <c r="C9" s="228"/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30" t="s">
        <v>166</v>
      </c>
      <c r="R9" s="230"/>
      <c r="S9" s="236">
        <v>46026</v>
      </c>
      <c r="T9" s="237"/>
      <c r="U9" s="111"/>
      <c r="V9" s="111"/>
      <c r="W9" s="111"/>
      <c r="X9" s="111"/>
    </row>
    <row r="10" spans="1:51" ht="16.2" customHeight="1" x14ac:dyDescent="0.35">
      <c r="A10" s="228"/>
      <c r="B10" s="228"/>
      <c r="C10" s="228"/>
      <c r="D10" s="238" t="s">
        <v>165</v>
      </c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0" t="s">
        <v>167</v>
      </c>
      <c r="R10" s="230"/>
      <c r="S10" s="237">
        <v>2807</v>
      </c>
      <c r="T10" s="237"/>
      <c r="U10" s="111"/>
      <c r="V10" s="111"/>
      <c r="W10" s="111"/>
      <c r="X10" s="111"/>
    </row>
    <row r="11" spans="1:51" s="83" customFormat="1" ht="13.8" customHeight="1" x14ac:dyDescent="0.3">
      <c r="A11" s="228"/>
      <c r="B11" s="228"/>
      <c r="C11" s="22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111"/>
      <c r="R11" s="111"/>
      <c r="S11" s="111"/>
      <c r="T11" s="111"/>
      <c r="U11" s="111"/>
      <c r="V11" s="111"/>
      <c r="W11" s="111"/>
      <c r="X11" s="111"/>
      <c r="Y11" s="82"/>
      <c r="Z11" s="82"/>
      <c r="AA11" s="82"/>
      <c r="AB11" s="82"/>
      <c r="AC11" s="82" t="s">
        <v>118</v>
      </c>
      <c r="AD11" s="82"/>
      <c r="AE11" s="82"/>
      <c r="AF11" s="82"/>
      <c r="AG11" s="82"/>
      <c r="AH11" s="82"/>
      <c r="AI11" s="82"/>
      <c r="AJ11" s="82"/>
      <c r="AM11" s="82"/>
      <c r="AR11" s="82"/>
    </row>
    <row r="12" spans="1:51" s="83" customFormat="1" ht="7.2" customHeight="1" x14ac:dyDescent="0.3"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82"/>
      <c r="AJ12" s="82"/>
      <c r="AM12" s="82"/>
      <c r="AR12" s="82"/>
    </row>
    <row r="13" spans="1:51" s="82" customFormat="1" ht="27" customHeight="1" x14ac:dyDescent="0.25">
      <c r="A13" s="112" t="s">
        <v>96</v>
      </c>
      <c r="B13" s="112" t="s">
        <v>97</v>
      </c>
      <c r="C13" s="112" t="s">
        <v>98</v>
      </c>
      <c r="D13" s="112" t="s">
        <v>99</v>
      </c>
      <c r="E13" s="112" t="s">
        <v>100</v>
      </c>
      <c r="F13" s="112" t="s">
        <v>101</v>
      </c>
      <c r="G13" s="112" t="s">
        <v>94</v>
      </c>
      <c r="H13" s="112" t="s">
        <v>102</v>
      </c>
      <c r="I13" s="112" t="s">
        <v>103</v>
      </c>
      <c r="J13" s="112" t="s">
        <v>104</v>
      </c>
      <c r="K13" s="112" t="s">
        <v>95</v>
      </c>
      <c r="L13" s="112" t="s">
        <v>110</v>
      </c>
      <c r="M13" s="112" t="s">
        <v>111</v>
      </c>
      <c r="N13" s="226" t="s">
        <v>192</v>
      </c>
      <c r="O13" s="226" t="s">
        <v>193</v>
      </c>
      <c r="P13" s="112" t="s">
        <v>116</v>
      </c>
      <c r="Q13" s="112" t="s">
        <v>117</v>
      </c>
      <c r="R13" s="112" t="s">
        <v>82</v>
      </c>
      <c r="S13" s="112" t="s">
        <v>112</v>
      </c>
      <c r="T13" s="112" t="s">
        <v>119</v>
      </c>
      <c r="U13" s="112" t="s">
        <v>120</v>
      </c>
      <c r="V13" s="112" t="s">
        <v>121</v>
      </c>
      <c r="W13" s="112" t="s">
        <v>83</v>
      </c>
      <c r="X13" s="112" t="s">
        <v>84</v>
      </c>
      <c r="Y13" s="112" t="s">
        <v>85</v>
      </c>
      <c r="Z13" s="112" t="s">
        <v>86</v>
      </c>
      <c r="AA13" s="112" t="s">
        <v>87</v>
      </c>
      <c r="AB13" s="112" t="s">
        <v>88</v>
      </c>
      <c r="AC13" s="112" t="s">
        <v>89</v>
      </c>
      <c r="AD13" s="112" t="s">
        <v>90</v>
      </c>
      <c r="AE13" s="112" t="s">
        <v>91</v>
      </c>
      <c r="AF13" s="112" t="s">
        <v>162</v>
      </c>
      <c r="AG13" s="117" t="s">
        <v>122</v>
      </c>
      <c r="AH13" s="112" t="s">
        <v>123</v>
      </c>
      <c r="AI13" s="112" t="s">
        <v>124</v>
      </c>
      <c r="AJ13" s="112" t="s">
        <v>125</v>
      </c>
      <c r="AK13" s="112" t="s">
        <v>126</v>
      </c>
      <c r="AL13" s="112" t="s">
        <v>127</v>
      </c>
      <c r="AM13" s="112" t="s">
        <v>93</v>
      </c>
      <c r="AN13" s="112" t="s">
        <v>128</v>
      </c>
      <c r="AO13" s="112" t="s">
        <v>71</v>
      </c>
      <c r="AP13" s="112" t="s">
        <v>72</v>
      </c>
      <c r="AQ13" s="112" t="s">
        <v>129</v>
      </c>
      <c r="AR13" s="112" t="s">
        <v>160</v>
      </c>
      <c r="AS13" s="112" t="s">
        <v>105</v>
      </c>
      <c r="AT13" s="112" t="s">
        <v>106</v>
      </c>
      <c r="AU13" s="112" t="s">
        <v>107</v>
      </c>
      <c r="AV13" s="112" t="s">
        <v>108</v>
      </c>
      <c r="AW13" s="112" t="s">
        <v>109</v>
      </c>
    </row>
    <row r="14" spans="1:51" ht="16.2" customHeight="1" x14ac:dyDescent="0.35">
      <c r="A14" s="85">
        <v>3346</v>
      </c>
      <c r="B14" s="85" t="s">
        <v>194</v>
      </c>
      <c r="C14" s="85">
        <v>4</v>
      </c>
      <c r="D14" s="85" t="s">
        <v>44</v>
      </c>
      <c r="E14" s="86"/>
      <c r="F14" s="86"/>
      <c r="G14" s="86">
        <v>6.35</v>
      </c>
      <c r="H14" s="87" t="s">
        <v>161</v>
      </c>
      <c r="I14" s="87" t="s">
        <v>161</v>
      </c>
      <c r="J14" s="85"/>
      <c r="K14" s="101">
        <v>1200</v>
      </c>
      <c r="L14" s="90">
        <f>IFERROR((AS14*G14*7.85)/1000000,"")</f>
        <v>1.9939</v>
      </c>
      <c r="M14" s="116">
        <f>IFERROR(L14*C14,"")</f>
        <v>7.9756</v>
      </c>
      <c r="N14" s="91">
        <f>IFERROR(AV14/AR14,0)</f>
        <v>0.10457516339869281</v>
      </c>
      <c r="O14" s="91">
        <f>IF(L14="",0,IFERROR(N14+INDEX(AUXILIAR!$AO$3:$AO$8,MATCH(L14,{0;2;5;10;20;50},1))*1440,N14))</f>
        <v>5.9379084967320255</v>
      </c>
      <c r="P14" s="102">
        <f>IFERROR(Q14/C14,0)</f>
        <v>19.950000000000003</v>
      </c>
      <c r="Q14" s="102">
        <f>IFERROR($D$2 * ROUND(M14, 2), 0)</f>
        <v>79.800000000000011</v>
      </c>
      <c r="R14" s="92" t="s">
        <v>54</v>
      </c>
      <c r="S14" s="88">
        <f>IF(A14="",0,$D$2)</f>
        <v>10</v>
      </c>
      <c r="T14" s="102">
        <f>((AM14/(1+AUXILIAR!$BJ$4))-((AM14/(1+AUXILIAR!$BJ$4))*AUXILIAR!$BK$4))-(((AM14/(1+AUXILIAR!$BJ$4))-((AM14/(1+AUXILIAR!$BJ$4))*AUXILIAR!$BK$4))*((AUXILIAR!$BL$4+AUXILIAR!$BM$4)))</f>
        <v>3.867312348668281</v>
      </c>
      <c r="U14" s="102">
        <f>((S14/(1+AUXILIAR!$BJ$7))-((S14/(1+AUXILIAR!$BJ$7))*AUXILIAR!$BK$7))-(((S14/(1+AUXILIAR!$BJ$7))-((S14/(1+AUXILIAR!$BJ$7))*AUXILIAR!$BK$7))*((AUXILIAR!$BL$7+AUXILIAR!$BM$7)))</f>
        <v>7.9860000000000007</v>
      </c>
      <c r="V14" s="103">
        <f>AM14-(AM14/(1+AUXILIAR!$BJ$4))</f>
        <v>0.15738498789346256</v>
      </c>
      <c r="W14" s="104">
        <f>(AM14-V14)*AUXILIAR!$BK$4</f>
        <v>0.58111380145278446</v>
      </c>
      <c r="X14" s="104">
        <f>(AM14-V14-W14)*(AUXILIAR!$BL$4+AUXILIAR!$BM$4)</f>
        <v>0.39418886198547215</v>
      </c>
      <c r="Y14" s="104">
        <f>X14-(X14/(1+AUXILIAR!$BJ$7))</f>
        <v>0</v>
      </c>
      <c r="Z14" s="104">
        <f>(S14-Y14)*AUXILIAR!$BK$7</f>
        <v>1.2</v>
      </c>
      <c r="AA14" s="104">
        <f>(S14-Y14-Z14)*(AUXILIAR!$BL$7+AUXILIAR!$BM$7)</f>
        <v>0.81400000000000006</v>
      </c>
      <c r="AB14" s="105">
        <f>V14-Y14</f>
        <v>0.15738498789346256</v>
      </c>
      <c r="AC14" s="105">
        <f>W14-Z14</f>
        <v>-0.61888619854721549</v>
      </c>
      <c r="AD14" s="105">
        <f t="shared" ref="AD14" si="0">X14-AA14</f>
        <v>-0.41981113801452791</v>
      </c>
      <c r="AE14" s="105">
        <f>AB14+AC14+AD14</f>
        <v>-0.88131234866828079</v>
      </c>
      <c r="AF14" s="105">
        <f>IFERROR(S14*M14,0)</f>
        <v>79.756</v>
      </c>
      <c r="AG14" s="104">
        <f>IFERROR((S14-AM14+AE14-AO14-AP14-AQ14-AL14),0)</f>
        <v>2.6586876513317188</v>
      </c>
      <c r="AH14" s="102">
        <f>IFERROR(AG14*M14,0)</f>
        <v>21.204629231961256</v>
      </c>
      <c r="AI14" s="106">
        <f>IFERROR(AG14/S14,0)</f>
        <v>0.26586876513317187</v>
      </c>
      <c r="AJ14" s="102">
        <f>IF(G14="",0,(AM14+AL14+AQ14+AP14+AO14+AN14))</f>
        <v>10.57868765133172</v>
      </c>
      <c r="AK14" s="102">
        <f>IFERROR(AJ14*M14,0)</f>
        <v>84.371381231961266</v>
      </c>
      <c r="AL14" s="102">
        <f>AUXILIAR!$BM$12</f>
        <v>1</v>
      </c>
      <c r="AM14" s="102">
        <f>IF($E$2="XADREZ",
     IFERROR(VLOOKUP(G14,AUXILIAR!AB:AC,2,TRUE),0),
     IF(AC11="SIM", 0, IFERROR(VLOOKUP(G14,AUXILIAR!AB:AC,2,TRUE),0))
)</f>
        <v>5</v>
      </c>
      <c r="AN14" s="102">
        <f>U14-T14</f>
        <v>4.1186876513317197</v>
      </c>
      <c r="AO14" s="102">
        <f>IFERROR(S14*$B$2,0)</f>
        <v>0.2</v>
      </c>
      <c r="AP14" s="102">
        <f>IF(G14="",0,$C$2)</f>
        <v>0.26</v>
      </c>
      <c r="AQ14" s="102">
        <f>IFERROR(INDEX(AUXILIAR!$AG$4:$AG$21,MATCH(G14,AUXILIAR!$AH$4:$AH$21,0))*AM14,"-")</f>
        <v>0</v>
      </c>
      <c r="AR14" s="107">
        <f>IF(R14="GUILHOTINA",IFERROR(VLOOKUP(G14,AUXILIAR!$Q:$S,3,FALSE),""),IF(R14="LASER",IFERROR(VLOOKUP(G14,AUXILIAR!$E:$I,3,FALSE),""),IF(R14="PLASMA",IFERROR(VLOOKUP(G14,AUXILIAR!$K:$O,3,FALSE),""),"")))</f>
        <v>30600</v>
      </c>
      <c r="AS14" s="89">
        <f>IF(OR(D14="Q",D14="R"),(H14*I14),IF(D14="T",(H14*I14)/2,IF(D14="TP",((H14+I14)*J14)/2,IF(D14="C",PI()*((H14/2)^2),""))))</f>
        <v>40000</v>
      </c>
      <c r="AT14" s="89">
        <f>IFERROR(AS14*C14,"")</f>
        <v>160000</v>
      </c>
      <c r="AU14" s="89">
        <f>IF(OR(D14="Q",D14="R"),((H14*2)+(I14*2))+((PI()*E14*F14)*1.2),IF(D14="T",((SQRT((H14^2)+(I14^2)))+H14+I14)+((PI()*E14*F14)*1.2),IF(D14="TP",((SQRT((J14^2)+(((H14-I14)/2)^2))*2)+H14+I14)+((PI()*E14*F14)*1.2),IF(D14="C",(2*PI()*(H14/2))+((PI()*E14*F14)*1.2),""))))</f>
        <v>800</v>
      </c>
      <c r="AV14" s="89">
        <f>IFERROR(AU14*C14,"")</f>
        <v>3200</v>
      </c>
      <c r="AW14" s="89">
        <f>IFERROR(AU14*C14,"")</f>
        <v>3200</v>
      </c>
      <c r="AY14" s="144">
        <f t="shared" ref="AY14:AY55" si="1">N14</f>
        <v>0.10457516339869281</v>
      </c>
    </row>
    <row r="15" spans="1:51" hidden="1" x14ac:dyDescent="0.35">
      <c r="A15" s="85"/>
      <c r="B15" s="85"/>
      <c r="C15" s="85"/>
      <c r="D15" s="85"/>
      <c r="E15" s="86"/>
      <c r="F15" s="86"/>
      <c r="G15" s="86"/>
      <c r="H15" s="87"/>
      <c r="I15" s="87"/>
      <c r="J15" s="85"/>
      <c r="K15" s="101">
        <v>1200</v>
      </c>
      <c r="L15" s="90" t="str">
        <f t="shared" ref="L15:L54" si="2">IFERROR((AS15*G15*7.85)/1000000,"")</f>
        <v/>
      </c>
      <c r="M15" s="116" t="str">
        <f t="shared" ref="M15:M54" si="3">IFERROR(L15*C15,"")</f>
        <v/>
      </c>
      <c r="N15" s="91">
        <f t="shared" ref="N15:N19" si="4">IFERROR(AV15/AR15,0)</f>
        <v>0</v>
      </c>
      <c r="O15" s="91">
        <f>IF(L15="",0,IFERROR(N15+INDEX(AUXILIAR!$AO$3:$AO$8,MATCH(L15,{0;2;5;10;20;50},1))*1440,N15))</f>
        <v>0</v>
      </c>
      <c r="P15" s="102">
        <f t="shared" ref="P15:P54" si="5">IFERROR(Q15/C15,0)</f>
        <v>0</v>
      </c>
      <c r="Q15" s="102">
        <f t="shared" ref="Q15:Q54" si="6">IFERROR($D$2 * ROUND(M15, 2), 0)</f>
        <v>0</v>
      </c>
      <c r="R15" s="92" t="s">
        <v>0</v>
      </c>
      <c r="S15" s="88">
        <f t="shared" ref="S15:S54" si="7">IF(A15="",0,$D$2)</f>
        <v>0</v>
      </c>
      <c r="T15" s="102">
        <f>((AM15/(1+AUXILIAR!$BJ$4))-((AM15/(1+AUXILIAR!$BJ$4))*AUXILIAR!$BK$4))-(((AM15/(1+AUXILIAR!$BJ$4))-((AM15/(1+AUXILIAR!$BJ$4))*AUXILIAR!$BK$4))*((AUXILIAR!$BL$4+AUXILIAR!$BM$4)))</f>
        <v>0</v>
      </c>
      <c r="U15" s="102">
        <f>((S15/(1+AUXILIAR!$BJ$7))-((S15/(1+AUXILIAR!$BJ$7))*AUXILIAR!$BK$7))-(((S15/(1+AUXILIAR!$BJ$7))-((S15/(1+AUXILIAR!$BJ$7))*AUXILIAR!$BK$7))*((AUXILIAR!$BL$7+AUXILIAR!$BM$7)))</f>
        <v>0</v>
      </c>
      <c r="V15" s="103">
        <f>AM15-(AM15/(1+AUXILIAR!$BJ$4))</f>
        <v>0</v>
      </c>
      <c r="W15" s="104">
        <f>(AM15-V15)*AUXILIAR!$BK$4</f>
        <v>0</v>
      </c>
      <c r="X15" s="104">
        <f>(AM15-V15-W15)*(AUXILIAR!$BL$4+AUXILIAR!$BM$4)</f>
        <v>0</v>
      </c>
      <c r="Y15" s="104">
        <f>X15-(X15/(1+AUXILIAR!$BJ$7))</f>
        <v>0</v>
      </c>
      <c r="Z15" s="104">
        <f>(S15-Y15)*AUXILIAR!$BK$7</f>
        <v>0</v>
      </c>
      <c r="AA15" s="104">
        <f>(S15-Y15-Z15)*(AUXILIAR!$BL$7+AUXILIAR!$BM$7)</f>
        <v>0</v>
      </c>
      <c r="AB15" s="105">
        <f t="shared" ref="AB15:AB54" si="8">V15-Y15</f>
        <v>0</v>
      </c>
      <c r="AC15" s="105">
        <f t="shared" ref="AC15:AC54" si="9">W15-Z15</f>
        <v>0</v>
      </c>
      <c r="AD15" s="105">
        <f t="shared" ref="AD15:AD54" si="10">X15-AA15</f>
        <v>0</v>
      </c>
      <c r="AE15" s="105">
        <f t="shared" ref="AE15:AE54" si="11">AB15+AC15+AD15</f>
        <v>0</v>
      </c>
      <c r="AF15" s="105">
        <f t="shared" ref="AF15:AF54" si="12">IFERROR(S15*M15,0)</f>
        <v>0</v>
      </c>
      <c r="AG15" s="104">
        <f t="shared" ref="AG15:AG54" si="13">IFERROR((S15-AM15+AE15-AO15-AP15-AQ15-AL15),0)</f>
        <v>0</v>
      </c>
      <c r="AH15" s="102">
        <f t="shared" ref="AH15:AH54" si="14">IFERROR(AG15*M15,0)</f>
        <v>0</v>
      </c>
      <c r="AI15" s="106">
        <f t="shared" ref="AI15:AI54" si="15">IFERROR(AG15/S15,0)</f>
        <v>0</v>
      </c>
      <c r="AJ15" s="102">
        <f t="shared" ref="AJ15:AJ54" si="16">IF(G15="",0,(AM15+AL15+AQ15+AP15+AO15+AN15))</f>
        <v>0</v>
      </c>
      <c r="AK15" s="102">
        <f t="shared" ref="AK15:AK54" si="17">IFERROR(AJ15*M15,0)</f>
        <v>0</v>
      </c>
      <c r="AL15" s="102">
        <f>AUXILIAR!$BM$12</f>
        <v>1</v>
      </c>
      <c r="AM15" s="102">
        <f>IF($E$2="XADREZ",
     IFERROR(VLOOKUP(G15,AUXILIAR!AB:AC,2,TRUE),0),
     IF(AC12="SIM", 0, IFERROR(VLOOKUP(G15,AUXILIAR!AB:AC,2,TRUE),0))
)</f>
        <v>0</v>
      </c>
      <c r="AN15" s="102">
        <f t="shared" ref="AN15:AN54" si="18">U15-T15</f>
        <v>0</v>
      </c>
      <c r="AO15" s="102">
        <f t="shared" ref="AO15:AO54" si="19">IFERROR(S15*$B$2,0)</f>
        <v>0</v>
      </c>
      <c r="AP15" s="102">
        <f t="shared" ref="AP15:AP54" si="20">IF(G15="",0,$C$2)</f>
        <v>0</v>
      </c>
      <c r="AQ15" s="102" t="str">
        <f>IFERROR(INDEX(AUXILIAR!$AG$4:$AG$21,MATCH(G15,AUXILIAR!$AH$4:$AH$21,0))*AM15,"-")</f>
        <v>-</v>
      </c>
      <c r="AR15" s="107" t="str">
        <f>IF(R15="GUILHOTINA",IFERROR(VLOOKUP(G15,AUXILIAR!$Q:$S,3,FALSE),""),IF(R15="LASER",IFERROR(VLOOKUP(G15,AUXILIAR!$E:$I,3,FALSE),""),IF(R15="PLASMA",IFERROR(VLOOKUP(G15,AUXILIAR!$K:$O,3,FALSE),""),"")))</f>
        <v/>
      </c>
      <c r="AS15" s="89" t="str">
        <f t="shared" ref="AS15:AS54" si="21">IF(OR(D15="Q",D15="R"),(H15*I15),IF(D15="T",(H15*I15)/2,IF(D15="TP",((H15+I15)*J15)/2,IF(D15="C",PI()*((H15/2)^2),""))))</f>
        <v/>
      </c>
      <c r="AT15" s="89" t="str">
        <f t="shared" ref="AT15:AT54" si="22">IFERROR(AS15*C15,"")</f>
        <v/>
      </c>
      <c r="AU15" s="89" t="str">
        <f t="shared" ref="AU15:AU54" si="23">IF(OR(D15="Q",D15="R"),((H15*2)+(I15*2))+((PI()*E15*F15)*1.2),IF(D15="T",((SQRT((H15^2)+(I15^2)))+H15+I15)+((PI()*E15*F15)*1.2),IF(D15="TP",((SQRT((J15^2)+(((H15-I15)/2)^2))*2)+H15+I15)+((PI()*E15*F15)*1.2),IF(D15="C",(2*PI()*(H15/2))+((PI()*E15*F15)*1.2),""))))</f>
        <v/>
      </c>
      <c r="AV15" s="89" t="str">
        <f t="shared" ref="AV15:AV54" si="24">IFERROR(AU15*C15,"")</f>
        <v/>
      </c>
      <c r="AW15" s="89" t="str">
        <f t="shared" ref="AW15:AW54" si="25">IFERROR(AU15*C15,"")</f>
        <v/>
      </c>
      <c r="AY15" s="144">
        <f t="shared" si="1"/>
        <v>0</v>
      </c>
    </row>
    <row r="16" spans="1:51" hidden="1" x14ac:dyDescent="0.35">
      <c r="A16" s="85"/>
      <c r="B16" s="85"/>
      <c r="C16" s="85"/>
      <c r="D16" s="85"/>
      <c r="E16" s="86"/>
      <c r="F16" s="86"/>
      <c r="G16" s="86"/>
      <c r="H16" s="87"/>
      <c r="I16" s="87"/>
      <c r="J16" s="85"/>
      <c r="K16" s="101">
        <v>1200</v>
      </c>
      <c r="L16" s="90" t="str">
        <f t="shared" si="2"/>
        <v/>
      </c>
      <c r="M16" s="116" t="str">
        <f t="shared" si="3"/>
        <v/>
      </c>
      <c r="N16" s="91">
        <f t="shared" si="4"/>
        <v>0</v>
      </c>
      <c r="O16" s="91">
        <f>IF(L16="",0,IFERROR(N16+INDEX(AUXILIAR!$AO$3:$AO$8,MATCH(L16,{0;2;5;10;20;50},1))*1440,N16))</f>
        <v>0</v>
      </c>
      <c r="P16" s="102">
        <f t="shared" si="5"/>
        <v>0</v>
      </c>
      <c r="Q16" s="102">
        <f t="shared" si="6"/>
        <v>0</v>
      </c>
      <c r="R16" s="92" t="s">
        <v>0</v>
      </c>
      <c r="S16" s="88">
        <f t="shared" si="7"/>
        <v>0</v>
      </c>
      <c r="T16" s="102">
        <f>((AM16/(1+AUXILIAR!$BJ$4))-((AM16/(1+AUXILIAR!$BJ$4))*AUXILIAR!$BK$4))-(((AM16/(1+AUXILIAR!$BJ$4))-((AM16/(1+AUXILIAR!$BJ$4))*AUXILIAR!$BK$4))*((AUXILIAR!$BL$4+AUXILIAR!$BM$4)))</f>
        <v>0</v>
      </c>
      <c r="U16" s="102">
        <f>((S16/(1+AUXILIAR!$BJ$7))-((S16/(1+AUXILIAR!$BJ$7))*AUXILIAR!$BK$7))-(((S16/(1+AUXILIAR!$BJ$7))-((S16/(1+AUXILIAR!$BJ$7))*AUXILIAR!$BK$7))*((AUXILIAR!$BL$7+AUXILIAR!$BM$7)))</f>
        <v>0</v>
      </c>
      <c r="V16" s="103">
        <f>AM16-(AM16/(1+AUXILIAR!$BJ$4))</f>
        <v>0</v>
      </c>
      <c r="W16" s="104">
        <f>(AM16-V16)*AUXILIAR!$BK$4</f>
        <v>0</v>
      </c>
      <c r="X16" s="104">
        <f>(AM16-V16-W16)*(AUXILIAR!$BL$4+AUXILIAR!$BM$4)</f>
        <v>0</v>
      </c>
      <c r="Y16" s="104">
        <f>X16-(X16/(1+AUXILIAR!$BJ$7))</f>
        <v>0</v>
      </c>
      <c r="Z16" s="104">
        <f>(S16-Y16)*AUXILIAR!$BK$7</f>
        <v>0</v>
      </c>
      <c r="AA16" s="104">
        <f>(S16-Y16-Z16)*(AUXILIAR!$BL$7+AUXILIAR!$BM$7)</f>
        <v>0</v>
      </c>
      <c r="AB16" s="105">
        <f t="shared" si="8"/>
        <v>0</v>
      </c>
      <c r="AC16" s="105">
        <f t="shared" si="9"/>
        <v>0</v>
      </c>
      <c r="AD16" s="105">
        <f t="shared" si="10"/>
        <v>0</v>
      </c>
      <c r="AE16" s="105">
        <f t="shared" si="11"/>
        <v>0</v>
      </c>
      <c r="AF16" s="105">
        <f t="shared" si="12"/>
        <v>0</v>
      </c>
      <c r="AG16" s="104">
        <f t="shared" si="13"/>
        <v>0</v>
      </c>
      <c r="AH16" s="102">
        <f t="shared" si="14"/>
        <v>0</v>
      </c>
      <c r="AI16" s="106">
        <f t="shared" si="15"/>
        <v>0</v>
      </c>
      <c r="AJ16" s="102">
        <f t="shared" si="16"/>
        <v>0</v>
      </c>
      <c r="AK16" s="102">
        <f t="shared" si="17"/>
        <v>0</v>
      </c>
      <c r="AL16" s="102">
        <f>AUXILIAR!$BM$12</f>
        <v>1</v>
      </c>
      <c r="AM16" s="102">
        <f>IF($E$2="XADREZ",
     IFERROR(VLOOKUP(G16,AUXILIAR!AB:AC,2,TRUE),0),
     IF(AC13="SIM", 0, IFERROR(VLOOKUP(G16,AUXILIAR!AB:AC,2,TRUE),0))
)</f>
        <v>0</v>
      </c>
      <c r="AN16" s="102">
        <f t="shared" si="18"/>
        <v>0</v>
      </c>
      <c r="AO16" s="102">
        <f t="shared" si="19"/>
        <v>0</v>
      </c>
      <c r="AP16" s="102">
        <f t="shared" si="20"/>
        <v>0</v>
      </c>
      <c r="AQ16" s="102" t="str">
        <f>IFERROR(INDEX(AUXILIAR!$AG$4:$AG$21,MATCH(G16,AUXILIAR!$AH$4:$AH$21,0))*AM16,"-")</f>
        <v>-</v>
      </c>
      <c r="AR16" s="107" t="str">
        <f>IF(R16="GUILHOTINA",IFERROR(VLOOKUP(G16,AUXILIAR!$Q:$S,3,FALSE),""),IF(R16="LASER",IFERROR(VLOOKUP(G16,AUXILIAR!$E:$I,3,FALSE),""),IF(R16="PLASMA",IFERROR(VLOOKUP(G16,AUXILIAR!$K:$O,3,FALSE),""),"")))</f>
        <v/>
      </c>
      <c r="AS16" s="89" t="str">
        <f t="shared" si="21"/>
        <v/>
      </c>
      <c r="AT16" s="89" t="str">
        <f t="shared" si="22"/>
        <v/>
      </c>
      <c r="AU16" s="89" t="str">
        <f t="shared" si="23"/>
        <v/>
      </c>
      <c r="AV16" s="89" t="str">
        <f t="shared" si="24"/>
        <v/>
      </c>
      <c r="AW16" s="89" t="str">
        <f t="shared" si="25"/>
        <v/>
      </c>
      <c r="AY16" s="144">
        <f t="shared" si="1"/>
        <v>0</v>
      </c>
    </row>
    <row r="17" spans="1:51" hidden="1" x14ac:dyDescent="0.35">
      <c r="A17" s="85"/>
      <c r="B17" s="85"/>
      <c r="C17" s="85"/>
      <c r="D17" s="85"/>
      <c r="E17" s="86"/>
      <c r="F17" s="86"/>
      <c r="G17" s="86"/>
      <c r="H17" s="87"/>
      <c r="I17" s="87"/>
      <c r="J17" s="85"/>
      <c r="K17" s="101">
        <v>1200</v>
      </c>
      <c r="L17" s="90" t="str">
        <f t="shared" si="2"/>
        <v/>
      </c>
      <c r="M17" s="116" t="str">
        <f t="shared" si="3"/>
        <v/>
      </c>
      <c r="N17" s="91">
        <f t="shared" si="4"/>
        <v>0</v>
      </c>
      <c r="O17" s="91">
        <f>IF(L17="",0,IFERROR(N17+INDEX(AUXILIAR!$AO$3:$AO$8,MATCH(L17,{0;2;5;10;20;50},1))*1440,N17))</f>
        <v>0</v>
      </c>
      <c r="P17" s="102">
        <f t="shared" si="5"/>
        <v>0</v>
      </c>
      <c r="Q17" s="102">
        <f t="shared" si="6"/>
        <v>0</v>
      </c>
      <c r="R17" s="92" t="s">
        <v>0</v>
      </c>
      <c r="S17" s="88">
        <f t="shared" si="7"/>
        <v>0</v>
      </c>
      <c r="T17" s="102">
        <f>((AM17/(1+AUXILIAR!$BJ$4))-((AM17/(1+AUXILIAR!$BJ$4))*AUXILIAR!$BK$4))-(((AM17/(1+AUXILIAR!$BJ$4))-((AM17/(1+AUXILIAR!$BJ$4))*AUXILIAR!$BK$4))*((AUXILIAR!$BL$4+AUXILIAR!$BM$4)))</f>
        <v>0</v>
      </c>
      <c r="U17" s="102">
        <f>((S17/(1+AUXILIAR!$BJ$7))-((S17/(1+AUXILIAR!$BJ$7))*AUXILIAR!$BK$7))-(((S17/(1+AUXILIAR!$BJ$7))-((S17/(1+AUXILIAR!$BJ$7))*AUXILIAR!$BK$7))*((AUXILIAR!$BL$7+AUXILIAR!$BM$7)))</f>
        <v>0</v>
      </c>
      <c r="V17" s="103">
        <f>AM17-(AM17/(1+AUXILIAR!$BJ$4))</f>
        <v>0</v>
      </c>
      <c r="W17" s="104">
        <f>(AM17-V17)*AUXILIAR!$BK$4</f>
        <v>0</v>
      </c>
      <c r="X17" s="104">
        <f>(AM17-V17-W17)*(AUXILIAR!$BL$4+AUXILIAR!$BM$4)</f>
        <v>0</v>
      </c>
      <c r="Y17" s="104">
        <f>X17-(X17/(1+AUXILIAR!$BJ$7))</f>
        <v>0</v>
      </c>
      <c r="Z17" s="104">
        <f>(S17-Y17)*AUXILIAR!$BK$7</f>
        <v>0</v>
      </c>
      <c r="AA17" s="104">
        <f>(S17-Y17-Z17)*(AUXILIAR!$BL$7+AUXILIAR!$BM$7)</f>
        <v>0</v>
      </c>
      <c r="AB17" s="105">
        <f t="shared" si="8"/>
        <v>0</v>
      </c>
      <c r="AC17" s="105">
        <f t="shared" si="9"/>
        <v>0</v>
      </c>
      <c r="AD17" s="105">
        <f t="shared" si="10"/>
        <v>0</v>
      </c>
      <c r="AE17" s="105">
        <f t="shared" si="11"/>
        <v>0</v>
      </c>
      <c r="AF17" s="105">
        <f t="shared" si="12"/>
        <v>0</v>
      </c>
      <c r="AG17" s="104">
        <f t="shared" si="13"/>
        <v>0</v>
      </c>
      <c r="AH17" s="102">
        <f t="shared" si="14"/>
        <v>0</v>
      </c>
      <c r="AI17" s="106">
        <f t="shared" si="15"/>
        <v>0</v>
      </c>
      <c r="AJ17" s="102">
        <f>IF(G17="",0,(AM17+AL17+AQ17+AP17+AO17+AN17))</f>
        <v>0</v>
      </c>
      <c r="AK17" s="102">
        <f t="shared" si="17"/>
        <v>0</v>
      </c>
      <c r="AL17" s="102">
        <f>AUXILIAR!$BM$12</f>
        <v>1</v>
      </c>
      <c r="AM17" s="102">
        <f>IF($E$2="XADREZ",
     IFERROR(VLOOKUP(G17,AUXILIAR!AB:AC,2,TRUE),0),
     IF(AC14="SIM", 0, IFERROR(VLOOKUP(G17,AUXILIAR!AB:AC,2,TRUE),0))
)</f>
        <v>0</v>
      </c>
      <c r="AN17" s="102">
        <f t="shared" si="18"/>
        <v>0</v>
      </c>
      <c r="AO17" s="102">
        <f t="shared" si="19"/>
        <v>0</v>
      </c>
      <c r="AP17" s="102">
        <f t="shared" si="20"/>
        <v>0</v>
      </c>
      <c r="AQ17" s="102" t="str">
        <f>IFERROR(INDEX(AUXILIAR!$AG$4:$AG$21,MATCH(G17,AUXILIAR!$AH$4:$AH$21,0))*AM17,"-")</f>
        <v>-</v>
      </c>
      <c r="AR17" s="107" t="str">
        <f>IF(R17="GUILHOTINA",IFERROR(VLOOKUP(G17,AUXILIAR!$Q:$S,3,FALSE),""),IF(R17="LASER",IFERROR(VLOOKUP(G17,AUXILIAR!$E:$I,3,FALSE),""),IF(R17="PLASMA",IFERROR(VLOOKUP(G17,AUXILIAR!$K:$O,3,FALSE),""),"")))</f>
        <v/>
      </c>
      <c r="AS17" s="89" t="str">
        <f t="shared" si="21"/>
        <v/>
      </c>
      <c r="AT17" s="89" t="str">
        <f t="shared" si="22"/>
        <v/>
      </c>
      <c r="AU17" s="89" t="str">
        <f t="shared" si="23"/>
        <v/>
      </c>
      <c r="AV17" s="89" t="str">
        <f t="shared" si="24"/>
        <v/>
      </c>
      <c r="AW17" s="89" t="str">
        <f t="shared" si="25"/>
        <v/>
      </c>
      <c r="AY17" s="144">
        <f t="shared" si="1"/>
        <v>0</v>
      </c>
    </row>
    <row r="18" spans="1:51" hidden="1" x14ac:dyDescent="0.35">
      <c r="A18" s="85"/>
      <c r="B18" s="85"/>
      <c r="C18" s="85"/>
      <c r="D18" s="85"/>
      <c r="E18" s="86"/>
      <c r="F18" s="86"/>
      <c r="G18" s="86"/>
      <c r="H18" s="87"/>
      <c r="I18" s="87"/>
      <c r="J18" s="85"/>
      <c r="K18" s="101">
        <v>1200</v>
      </c>
      <c r="L18" s="90" t="str">
        <f t="shared" si="2"/>
        <v/>
      </c>
      <c r="M18" s="116" t="str">
        <f t="shared" si="3"/>
        <v/>
      </c>
      <c r="N18" s="91">
        <f t="shared" si="4"/>
        <v>0</v>
      </c>
      <c r="O18" s="91">
        <f>IF(L18="",0,IFERROR(N18+INDEX(AUXILIAR!$AO$3:$AO$8,MATCH(L18,{0;2;5;10;20;50},1))*1440,N18))</f>
        <v>0</v>
      </c>
      <c r="P18" s="102">
        <f t="shared" si="5"/>
        <v>0</v>
      </c>
      <c r="Q18" s="102">
        <f t="shared" si="6"/>
        <v>0</v>
      </c>
      <c r="R18" s="92" t="s">
        <v>0</v>
      </c>
      <c r="S18" s="88">
        <f t="shared" si="7"/>
        <v>0</v>
      </c>
      <c r="T18" s="102">
        <f>((AM18/(1+AUXILIAR!$BJ$4))-((AM18/(1+AUXILIAR!$BJ$4))*AUXILIAR!$BK$4))-(((AM18/(1+AUXILIAR!$BJ$4))-((AM18/(1+AUXILIAR!$BJ$4))*AUXILIAR!$BK$4))*((AUXILIAR!$BL$4+AUXILIAR!$BM$4)))</f>
        <v>0</v>
      </c>
      <c r="U18" s="102">
        <f>((S18/(1+AUXILIAR!$BJ$7))-((S18/(1+AUXILIAR!$BJ$7))*AUXILIAR!$BK$7))-(((S18/(1+AUXILIAR!$BJ$7))-((S18/(1+AUXILIAR!$BJ$7))*AUXILIAR!$BK$7))*((AUXILIAR!$BL$7+AUXILIAR!$BM$7)))</f>
        <v>0</v>
      </c>
      <c r="V18" s="103">
        <f>AM18-(AM18/(1+AUXILIAR!$BJ$4))</f>
        <v>0</v>
      </c>
      <c r="W18" s="104">
        <f>(AM18-V18)*AUXILIAR!$BK$4</f>
        <v>0</v>
      </c>
      <c r="X18" s="104">
        <f>(AM18-V18-W18)*(AUXILIAR!$BL$4+AUXILIAR!$BM$4)</f>
        <v>0</v>
      </c>
      <c r="Y18" s="104">
        <f>X18-(X18/(1+AUXILIAR!$BJ$7))</f>
        <v>0</v>
      </c>
      <c r="Z18" s="104">
        <f>(S18-Y18)*AUXILIAR!$BK$7</f>
        <v>0</v>
      </c>
      <c r="AA18" s="104">
        <f>(S18-Y18-Z18)*(AUXILIAR!$BL$7+AUXILIAR!$BM$7)</f>
        <v>0</v>
      </c>
      <c r="AB18" s="105">
        <f t="shared" si="8"/>
        <v>0</v>
      </c>
      <c r="AC18" s="105">
        <f t="shared" si="9"/>
        <v>0</v>
      </c>
      <c r="AD18" s="105">
        <f t="shared" si="10"/>
        <v>0</v>
      </c>
      <c r="AE18" s="105">
        <f t="shared" si="11"/>
        <v>0</v>
      </c>
      <c r="AF18" s="105">
        <f t="shared" si="12"/>
        <v>0</v>
      </c>
      <c r="AG18" s="104">
        <f>IFERROR((S18-AM18+AE18-AO18-AP18-AQ18-AL18),0)</f>
        <v>0</v>
      </c>
      <c r="AH18" s="102">
        <f t="shared" si="14"/>
        <v>0</v>
      </c>
      <c r="AI18" s="106">
        <f t="shared" si="15"/>
        <v>0</v>
      </c>
      <c r="AJ18" s="102">
        <f>IF(G18="",0,(AM18+AL18+AQ18+AP18+AO18+AN18))</f>
        <v>0</v>
      </c>
      <c r="AK18" s="102">
        <f t="shared" si="17"/>
        <v>0</v>
      </c>
      <c r="AL18" s="102">
        <f>AUXILIAR!$BM$12</f>
        <v>1</v>
      </c>
      <c r="AM18" s="102">
        <f>IF($E$2="XADREZ",
     IFERROR(VLOOKUP(G18,AUXILIAR!AB:AC,2,TRUE),0),
     IF(AC15="SIM", 0, IFERROR(VLOOKUP(G18,AUXILIAR!AB:AC,2,TRUE),0))
)</f>
        <v>0</v>
      </c>
      <c r="AN18" s="102">
        <f t="shared" si="18"/>
        <v>0</v>
      </c>
      <c r="AO18" s="102">
        <f t="shared" si="19"/>
        <v>0</v>
      </c>
      <c r="AP18" s="102">
        <f t="shared" si="20"/>
        <v>0</v>
      </c>
      <c r="AQ18" s="102" t="str">
        <f>IFERROR(INDEX(AUXILIAR!$AG$4:$AG$28,MATCH(G18,AUXILIAR!$AH$4:$AH$28,0))*AM18,"-")</f>
        <v>-</v>
      </c>
      <c r="AR18" s="107" t="str">
        <f>IF(R18="GUILHOTINA",IFERROR(VLOOKUP(G18,AUXILIAR!$Q:$S,3,FALSE),""),IF(R18="LASER",IFERROR(VLOOKUP(G18,AUXILIAR!$E:$I,3,FALSE),""),IF(R18="PLASMA",IFERROR(VLOOKUP(G18,AUXILIAR!$K:$O,3,FALSE),""),"")))</f>
        <v/>
      </c>
      <c r="AS18" s="89" t="str">
        <f t="shared" si="21"/>
        <v/>
      </c>
      <c r="AT18" s="89" t="str">
        <f t="shared" si="22"/>
        <v/>
      </c>
      <c r="AU18" s="89" t="str">
        <f t="shared" si="23"/>
        <v/>
      </c>
      <c r="AV18" s="89" t="str">
        <f t="shared" si="24"/>
        <v/>
      </c>
      <c r="AW18" s="89" t="str">
        <f t="shared" si="25"/>
        <v/>
      </c>
      <c r="AY18" s="144">
        <f t="shared" si="1"/>
        <v>0</v>
      </c>
    </row>
    <row r="19" spans="1:51" hidden="1" x14ac:dyDescent="0.35">
      <c r="A19" s="85"/>
      <c r="B19" s="85"/>
      <c r="C19" s="85"/>
      <c r="D19" s="85"/>
      <c r="E19" s="86"/>
      <c r="F19" s="86"/>
      <c r="G19" s="86"/>
      <c r="H19" s="87"/>
      <c r="I19" s="87"/>
      <c r="J19" s="85"/>
      <c r="K19" s="101">
        <v>1200</v>
      </c>
      <c r="L19" s="90" t="str">
        <f t="shared" si="2"/>
        <v/>
      </c>
      <c r="M19" s="116" t="str">
        <f t="shared" si="3"/>
        <v/>
      </c>
      <c r="N19" s="91">
        <f t="shared" si="4"/>
        <v>0</v>
      </c>
      <c r="O19" s="91">
        <f>IF(L19="",0,IFERROR(N19+INDEX(AUXILIAR!$AO$3:$AO$8,MATCH(L19,{0;2;5;10;20;50},1))*1440,N19))</f>
        <v>0</v>
      </c>
      <c r="P19" s="102">
        <f t="shared" si="5"/>
        <v>0</v>
      </c>
      <c r="Q19" s="102">
        <f t="shared" si="6"/>
        <v>0</v>
      </c>
      <c r="R19" s="92" t="s">
        <v>0</v>
      </c>
      <c r="S19" s="88">
        <f t="shared" si="7"/>
        <v>0</v>
      </c>
      <c r="T19" s="102">
        <f>((AM19/(1+AUXILIAR!$BJ$4))-((AM19/(1+AUXILIAR!$BJ$4))*AUXILIAR!$BK$4))-(((AM19/(1+AUXILIAR!$BJ$4))-((AM19/(1+AUXILIAR!$BJ$4))*AUXILIAR!$BK$4))*((AUXILIAR!$BL$4+AUXILIAR!$BM$4)))</f>
        <v>0</v>
      </c>
      <c r="U19" s="102">
        <f>((S19/(1+AUXILIAR!$BJ$7))-((S19/(1+AUXILIAR!$BJ$7))*AUXILIAR!$BK$7))-(((S19/(1+AUXILIAR!$BJ$7))-((S19/(1+AUXILIAR!$BJ$7))*AUXILIAR!$BK$7))*((AUXILIAR!$BL$7+AUXILIAR!$BM$7)))</f>
        <v>0</v>
      </c>
      <c r="V19" s="103">
        <f>AM19-(AM19/(1+AUXILIAR!$BJ$4))</f>
        <v>0</v>
      </c>
      <c r="W19" s="104">
        <f>(AM19-V19)*AUXILIAR!$BK$4</f>
        <v>0</v>
      </c>
      <c r="X19" s="104">
        <f>(AM19-V19-W19)*(AUXILIAR!$BL$4+AUXILIAR!$BM$4)</f>
        <v>0</v>
      </c>
      <c r="Y19" s="104">
        <f>X19-(X19/(1+AUXILIAR!$BJ$7))</f>
        <v>0</v>
      </c>
      <c r="Z19" s="104">
        <f>(S19-Y19)*AUXILIAR!$BK$7</f>
        <v>0</v>
      </c>
      <c r="AA19" s="104">
        <f>(S19-Y19-Z19)*(AUXILIAR!$BL$7+AUXILIAR!$BM$7)</f>
        <v>0</v>
      </c>
      <c r="AB19" s="105">
        <f t="shared" si="8"/>
        <v>0</v>
      </c>
      <c r="AC19" s="105">
        <f t="shared" si="9"/>
        <v>0</v>
      </c>
      <c r="AD19" s="105">
        <f t="shared" si="10"/>
        <v>0</v>
      </c>
      <c r="AE19" s="105">
        <f t="shared" si="11"/>
        <v>0</v>
      </c>
      <c r="AF19" s="105">
        <f t="shared" si="12"/>
        <v>0</v>
      </c>
      <c r="AG19" s="104">
        <f t="shared" si="13"/>
        <v>0</v>
      </c>
      <c r="AH19" s="102">
        <f t="shared" si="14"/>
        <v>0</v>
      </c>
      <c r="AI19" s="106">
        <f t="shared" si="15"/>
        <v>0</v>
      </c>
      <c r="AJ19" s="102">
        <f>IF(G19="",0,(AM19+AL19+AQ19+AP19+AO19+AN19))</f>
        <v>0</v>
      </c>
      <c r="AK19" s="102">
        <f t="shared" si="17"/>
        <v>0</v>
      </c>
      <c r="AL19" s="102">
        <f>AUXILIAR!$BM$12</f>
        <v>1</v>
      </c>
      <c r="AM19" s="102">
        <f>IF($E$2="XADREZ",
     IFERROR(VLOOKUP(G19,AUXILIAR!AB:AC,2,TRUE),0),
     IF(AC16="SIM", 0, IFERROR(VLOOKUP(G19,AUXILIAR!AB:AC,2,TRUE),0))
)</f>
        <v>0</v>
      </c>
      <c r="AN19" s="102">
        <f t="shared" si="18"/>
        <v>0</v>
      </c>
      <c r="AO19" s="102">
        <f t="shared" si="19"/>
        <v>0</v>
      </c>
      <c r="AP19" s="102">
        <f t="shared" si="20"/>
        <v>0</v>
      </c>
      <c r="AQ19" s="102" t="str">
        <f>IFERROR(INDEX(AUXILIAR!$AG$4:$AG$28,MATCH(G19,AUXILIAR!$AH$4:$AH$28,0))*AM19,"-")</f>
        <v>-</v>
      </c>
      <c r="AR19" s="107" t="str">
        <f>IF(R19="GUILHOTINA",IFERROR(VLOOKUP(G19,AUXILIAR!$Q:$S,3,FALSE),""),IF(R19="LASER",IFERROR(VLOOKUP(G19,AUXILIAR!$E:$I,3,FALSE),""),IF(R19="PLASMA",IFERROR(VLOOKUP(G19,AUXILIAR!$K:$O,3,FALSE),""),"")))</f>
        <v/>
      </c>
      <c r="AS19" s="89" t="str">
        <f t="shared" si="21"/>
        <v/>
      </c>
      <c r="AT19" s="89" t="str">
        <f t="shared" si="22"/>
        <v/>
      </c>
      <c r="AU19" s="89" t="str">
        <f t="shared" si="23"/>
        <v/>
      </c>
      <c r="AV19" s="89" t="str">
        <f t="shared" si="24"/>
        <v/>
      </c>
      <c r="AW19" s="89" t="str">
        <f t="shared" si="25"/>
        <v/>
      </c>
      <c r="AY19" s="144">
        <f t="shared" si="1"/>
        <v>0</v>
      </c>
    </row>
    <row r="20" spans="1:51" hidden="1" x14ac:dyDescent="0.35">
      <c r="A20" s="85"/>
      <c r="B20" s="85"/>
      <c r="C20" s="85"/>
      <c r="D20" s="85"/>
      <c r="E20" s="86"/>
      <c r="F20" s="86"/>
      <c r="G20" s="86"/>
      <c r="H20" s="87"/>
      <c r="I20" s="87"/>
      <c r="J20" s="85"/>
      <c r="K20" s="101">
        <v>1200</v>
      </c>
      <c r="L20" s="90" t="str">
        <f t="shared" si="2"/>
        <v/>
      </c>
      <c r="M20" s="91" t="str">
        <f t="shared" si="3"/>
        <v/>
      </c>
      <c r="N20" s="91"/>
      <c r="O20" s="91">
        <f>IF(L20="",0,IFERROR(N20+INDEX(AUXILIAR!$AO$3:$AO$8,MATCH(L20,AUXILIAR!$AP$3:$AP$8,1)),N20))</f>
        <v>0</v>
      </c>
      <c r="P20" s="92">
        <f t="shared" si="5"/>
        <v>0</v>
      </c>
      <c r="Q20" s="92">
        <f t="shared" si="6"/>
        <v>0</v>
      </c>
      <c r="R20" s="92" t="s">
        <v>0</v>
      </c>
      <c r="S20" s="88">
        <f t="shared" si="7"/>
        <v>0</v>
      </c>
      <c r="T20" s="102">
        <f>((AM20/(1+AUXILIAR!$BJ$4))-((AM20/(1+AUXILIAR!$BJ$4))*AUXILIAR!$BK$4))-(((AM20/(1+AUXILIAR!$BJ$4))-((AM20/(1+AUXILIAR!$BJ$4))*AUXILIAR!$BK$4))*((AUXILIAR!$BL$4+AUXILIAR!$BM$4)))</f>
        <v>0</v>
      </c>
      <c r="U20" s="102">
        <f>((S20/(1+AUXILIAR!$BJ$7))-((S20/(1+AUXILIAR!$BJ$7))*AUXILIAR!$BK$7))-(((S20/(1+AUXILIAR!$BJ$7))-((S20/(1+AUXILIAR!$BJ$7))*AUXILIAR!$BK$7))*((AUXILIAR!$BL$7+AUXILIAR!$BM$7)))</f>
        <v>0</v>
      </c>
      <c r="V20" s="103">
        <f>AM20-(AM20/(1+AUXILIAR!$BJ$4))</f>
        <v>0</v>
      </c>
      <c r="W20" s="104">
        <f>(AM20-V20)*AUXILIAR!$BK$4</f>
        <v>0</v>
      </c>
      <c r="X20" s="104">
        <f>(AM20-V20-W20)*(AUXILIAR!$BL$4+AUXILIAR!$BM$4)</f>
        <v>0</v>
      </c>
      <c r="Y20" s="104">
        <f>X20-(X20/(1+AUXILIAR!$BJ$7))</f>
        <v>0</v>
      </c>
      <c r="Z20" s="104">
        <f>(S20-Y20)*AUXILIAR!$BK$7</f>
        <v>0</v>
      </c>
      <c r="AA20" s="104">
        <f>(S20-Y20-Z20)*(AUXILIAR!$BL$7+AUXILIAR!$BM$7)</f>
        <v>0</v>
      </c>
      <c r="AB20" s="105">
        <f t="shared" si="8"/>
        <v>0</v>
      </c>
      <c r="AC20" s="105">
        <f t="shared" si="9"/>
        <v>0</v>
      </c>
      <c r="AD20" s="105">
        <f t="shared" si="10"/>
        <v>0</v>
      </c>
      <c r="AE20" s="105">
        <f t="shared" si="11"/>
        <v>0</v>
      </c>
      <c r="AF20" s="105">
        <f t="shared" si="12"/>
        <v>0</v>
      </c>
      <c r="AG20" s="104">
        <f t="shared" si="13"/>
        <v>0</v>
      </c>
      <c r="AH20" s="102">
        <f t="shared" si="14"/>
        <v>0</v>
      </c>
      <c r="AI20" s="106">
        <f t="shared" si="15"/>
        <v>0</v>
      </c>
      <c r="AJ20" s="102">
        <f>IF(G20="",0,(AM20+AL20+AQ20+AP20+AO20+AN20))</f>
        <v>0</v>
      </c>
      <c r="AK20" s="102">
        <f t="shared" si="17"/>
        <v>0</v>
      </c>
      <c r="AL20" s="102">
        <f>AUXILIAR!$BM$12</f>
        <v>1</v>
      </c>
      <c r="AM20" s="102">
        <f>IF($E$2="XADREZ",
     IFERROR(VLOOKUP(G20,AUXILIAR!AB:AC,2,TRUE),0),
     IF(AC17="SIM", 0, IFERROR(VLOOKUP(G20,AUXILIAR!AB:AC,2,TRUE),0))
)</f>
        <v>0</v>
      </c>
      <c r="AN20" s="102">
        <f t="shared" si="18"/>
        <v>0</v>
      </c>
      <c r="AO20" s="102">
        <f t="shared" si="19"/>
        <v>0</v>
      </c>
      <c r="AP20" s="102">
        <f t="shared" si="20"/>
        <v>0</v>
      </c>
      <c r="AQ20" s="102" t="str">
        <f>IFERROR(INDEX(AUXILIAR!$AG$4:$AG$21,MATCH(G20,AUXILIAR!$AH$4:$AH$21,0))*AM20,"-")</f>
        <v>-</v>
      </c>
      <c r="AR20" s="107" t="str">
        <f>IF(R20="GUILHOTINA",IFERROR(VLOOKUP(G20,AUXILIAR!$Q:$S,3,FALSE),""),IF(R20="LASER",IFERROR(VLOOKUP(G20,AUXILIAR!$E:$I,3,FALSE),""),IF(R20="PLASMA",IFERROR(VLOOKUP(G20,AUXILIAR!$K:$O,3,FALSE),""),"")))</f>
        <v/>
      </c>
      <c r="AS20" s="89" t="str">
        <f t="shared" si="21"/>
        <v/>
      </c>
      <c r="AT20" s="89" t="str">
        <f t="shared" si="22"/>
        <v/>
      </c>
      <c r="AU20" s="89" t="str">
        <f t="shared" si="23"/>
        <v/>
      </c>
      <c r="AV20" s="89" t="str">
        <f t="shared" si="24"/>
        <v/>
      </c>
      <c r="AW20" s="89" t="str">
        <f t="shared" si="25"/>
        <v/>
      </c>
      <c r="AY20" s="144">
        <f t="shared" si="1"/>
        <v>0</v>
      </c>
    </row>
    <row r="21" spans="1:51" hidden="1" x14ac:dyDescent="0.35">
      <c r="A21" s="85"/>
      <c r="B21" s="85"/>
      <c r="C21" s="85"/>
      <c r="D21" s="85"/>
      <c r="E21" s="86"/>
      <c r="F21" s="86"/>
      <c r="G21" s="86"/>
      <c r="H21" s="87"/>
      <c r="I21" s="87"/>
      <c r="J21" s="85"/>
      <c r="K21" s="101">
        <v>1200</v>
      </c>
      <c r="L21" s="90" t="str">
        <f t="shared" si="2"/>
        <v/>
      </c>
      <c r="M21" s="91" t="str">
        <f t="shared" si="3"/>
        <v/>
      </c>
      <c r="N21" s="91"/>
      <c r="O21" s="91">
        <f>IF(L21="",0,IFERROR(N21+INDEX(AUXILIAR!$AO$3:$AO$8,MATCH(L21,AUXILIAR!$AP$3:$AP$8,1)),N21))</f>
        <v>0</v>
      </c>
      <c r="P21" s="92">
        <f t="shared" si="5"/>
        <v>0</v>
      </c>
      <c r="Q21" s="92">
        <f t="shared" si="6"/>
        <v>0</v>
      </c>
      <c r="R21" s="92" t="s">
        <v>0</v>
      </c>
      <c r="S21" s="88">
        <f t="shared" si="7"/>
        <v>0</v>
      </c>
      <c r="T21" s="102">
        <f>((AM21/(1+AUXILIAR!$BJ$4))-((AM21/(1+AUXILIAR!$BJ$4))*AUXILIAR!$BK$4))-(((AM21/(1+AUXILIAR!$BJ$4))-((AM21/(1+AUXILIAR!$BJ$4))*AUXILIAR!$BK$4))*((AUXILIAR!$BL$4+AUXILIAR!$BM$4)))</f>
        <v>0</v>
      </c>
      <c r="U21" s="102">
        <f>((S21/(1+AUXILIAR!$BJ$7))-((S21/(1+AUXILIAR!$BJ$7))*AUXILIAR!$BK$7))-(((S21/(1+AUXILIAR!$BJ$7))-((S21/(1+AUXILIAR!$BJ$7))*AUXILIAR!$BK$7))*((AUXILIAR!$BL$7+AUXILIAR!$BM$7)))</f>
        <v>0</v>
      </c>
      <c r="V21" s="103">
        <f>AM21-(AM21/(1+AUXILIAR!$BJ$4))</f>
        <v>0</v>
      </c>
      <c r="W21" s="104">
        <f>(AM21-V21)*AUXILIAR!$BK$4</f>
        <v>0</v>
      </c>
      <c r="X21" s="104">
        <f>(AM21-V21-W21)*(AUXILIAR!$BL$4+AUXILIAR!$BM$4)</f>
        <v>0</v>
      </c>
      <c r="Y21" s="104">
        <f>X21-(X21/(1+AUXILIAR!$BJ$7))</f>
        <v>0</v>
      </c>
      <c r="Z21" s="104">
        <f>(S21-Y21)*AUXILIAR!$BK$7</f>
        <v>0</v>
      </c>
      <c r="AA21" s="104">
        <f>(S21-Y21-Z21)*(AUXILIAR!$BL$7+AUXILIAR!$BM$7)</f>
        <v>0</v>
      </c>
      <c r="AB21" s="105">
        <f t="shared" si="8"/>
        <v>0</v>
      </c>
      <c r="AC21" s="105">
        <f t="shared" si="9"/>
        <v>0</v>
      </c>
      <c r="AD21" s="105">
        <f t="shared" si="10"/>
        <v>0</v>
      </c>
      <c r="AE21" s="105">
        <f t="shared" si="11"/>
        <v>0</v>
      </c>
      <c r="AF21" s="105">
        <f t="shared" si="12"/>
        <v>0</v>
      </c>
      <c r="AG21" s="104">
        <f t="shared" si="13"/>
        <v>0</v>
      </c>
      <c r="AH21" s="102">
        <f t="shared" si="14"/>
        <v>0</v>
      </c>
      <c r="AI21" s="106">
        <f t="shared" si="15"/>
        <v>0</v>
      </c>
      <c r="AJ21" s="102">
        <f t="shared" si="16"/>
        <v>0</v>
      </c>
      <c r="AK21" s="102">
        <f t="shared" si="17"/>
        <v>0</v>
      </c>
      <c r="AL21" s="102">
        <f>AUXILIAR!$BM$12</f>
        <v>1</v>
      </c>
      <c r="AM21" s="102">
        <f>IF($E$2="XADREZ",
     IFERROR(VLOOKUP(G21,AUXILIAR!AB:AC,2,TRUE),0),
     IF(AC18="SIM", 0, IFERROR(VLOOKUP(G21,AUXILIAR!AB:AC,2,TRUE),0))
)</f>
        <v>0</v>
      </c>
      <c r="AN21" s="102">
        <f t="shared" si="18"/>
        <v>0</v>
      </c>
      <c r="AO21" s="102">
        <f t="shared" si="19"/>
        <v>0</v>
      </c>
      <c r="AP21" s="102">
        <f t="shared" si="20"/>
        <v>0</v>
      </c>
      <c r="AQ21" s="102" t="str">
        <f>IFERROR(INDEX(AUXILIAR!$AG$4:$AG$21,MATCH(G21,AUXILIAR!$AH$4:$AH$21,0))*AM21,"-")</f>
        <v>-</v>
      </c>
      <c r="AR21" s="107" t="str">
        <f>IF(R21="GUILHOTINA",IFERROR(VLOOKUP(G21,AUXILIAR!$Q:$S,3,FALSE),""),IF(R21="LASER",IFERROR(VLOOKUP(G21,AUXILIAR!$E:$I,3,FALSE),""),IF(R21="PLASMA",IFERROR(VLOOKUP(G21,AUXILIAR!$K:$O,3,FALSE),""),"")))</f>
        <v/>
      </c>
      <c r="AS21" s="89" t="str">
        <f t="shared" si="21"/>
        <v/>
      </c>
      <c r="AT21" s="89" t="str">
        <f t="shared" si="22"/>
        <v/>
      </c>
      <c r="AU21" s="89" t="str">
        <f t="shared" si="23"/>
        <v/>
      </c>
      <c r="AV21" s="89" t="str">
        <f t="shared" si="24"/>
        <v/>
      </c>
      <c r="AW21" s="89" t="str">
        <f t="shared" si="25"/>
        <v/>
      </c>
      <c r="AY21" s="144">
        <f t="shared" si="1"/>
        <v>0</v>
      </c>
    </row>
    <row r="22" spans="1:51" hidden="1" x14ac:dyDescent="0.35">
      <c r="A22" s="85"/>
      <c r="B22" s="85"/>
      <c r="C22" s="85"/>
      <c r="D22" s="85"/>
      <c r="E22" s="86"/>
      <c r="F22" s="86"/>
      <c r="G22" s="86"/>
      <c r="H22" s="87"/>
      <c r="I22" s="87"/>
      <c r="J22" s="85"/>
      <c r="K22" s="101">
        <v>1200</v>
      </c>
      <c r="L22" s="90" t="str">
        <f t="shared" si="2"/>
        <v/>
      </c>
      <c r="M22" s="91" t="str">
        <f t="shared" si="3"/>
        <v/>
      </c>
      <c r="N22" s="91"/>
      <c r="O22" s="91">
        <f>IF(L22="",0,IFERROR(N22+INDEX(AUXILIAR!$AO$3:$AO$8,MATCH(L22,AUXILIAR!$AP$3:$AP$8,1)),N22))</f>
        <v>0</v>
      </c>
      <c r="P22" s="92">
        <f t="shared" si="5"/>
        <v>0</v>
      </c>
      <c r="Q22" s="92">
        <f t="shared" si="6"/>
        <v>0</v>
      </c>
      <c r="R22" s="92" t="s">
        <v>0</v>
      </c>
      <c r="S22" s="88">
        <f t="shared" si="7"/>
        <v>0</v>
      </c>
      <c r="T22" s="102">
        <f>((AM22/(1+AUXILIAR!$BJ$4))-((AM22/(1+AUXILIAR!$BJ$4))*AUXILIAR!$BK$4))-(((AM22/(1+AUXILIAR!$BJ$4))-((AM22/(1+AUXILIAR!$BJ$4))*AUXILIAR!$BK$4))*((AUXILIAR!$BL$4+AUXILIAR!$BM$4)))</f>
        <v>0</v>
      </c>
      <c r="U22" s="102">
        <f>((S22/(1+AUXILIAR!$BJ$7))-((S22/(1+AUXILIAR!$BJ$7))*AUXILIAR!$BK$7))-(((S22/(1+AUXILIAR!$BJ$7))-((S22/(1+AUXILIAR!$BJ$7))*AUXILIAR!$BK$7))*((AUXILIAR!$BL$7+AUXILIAR!$BM$7)))</f>
        <v>0</v>
      </c>
      <c r="V22" s="103">
        <f>AM22-(AM22/(1+AUXILIAR!$BJ$4))</f>
        <v>0</v>
      </c>
      <c r="W22" s="104">
        <f>(AM22-V22)*AUXILIAR!$BK$4</f>
        <v>0</v>
      </c>
      <c r="X22" s="104">
        <f>(AM22-V22-W22)*(AUXILIAR!$BL$4+AUXILIAR!$BM$4)</f>
        <v>0</v>
      </c>
      <c r="Y22" s="104">
        <f>X22-(X22/(1+AUXILIAR!$BJ$7))</f>
        <v>0</v>
      </c>
      <c r="Z22" s="104">
        <f>(S22-Y22)*AUXILIAR!$BK$7</f>
        <v>0</v>
      </c>
      <c r="AA22" s="104">
        <f>(S22-Y22-Z22)*(AUXILIAR!$BL$7+AUXILIAR!$BM$7)</f>
        <v>0</v>
      </c>
      <c r="AB22" s="105">
        <f t="shared" si="8"/>
        <v>0</v>
      </c>
      <c r="AC22" s="105">
        <f t="shared" si="9"/>
        <v>0</v>
      </c>
      <c r="AD22" s="105">
        <f t="shared" si="10"/>
        <v>0</v>
      </c>
      <c r="AE22" s="105">
        <f t="shared" si="11"/>
        <v>0</v>
      </c>
      <c r="AF22" s="105">
        <f t="shared" si="12"/>
        <v>0</v>
      </c>
      <c r="AG22" s="104">
        <f t="shared" si="13"/>
        <v>0</v>
      </c>
      <c r="AH22" s="102">
        <f t="shared" si="14"/>
        <v>0</v>
      </c>
      <c r="AI22" s="106">
        <f t="shared" si="15"/>
        <v>0</v>
      </c>
      <c r="AJ22" s="102">
        <f t="shared" si="16"/>
        <v>0</v>
      </c>
      <c r="AK22" s="102">
        <f t="shared" si="17"/>
        <v>0</v>
      </c>
      <c r="AL22" s="102">
        <f>AUXILIAR!$BM$12</f>
        <v>1</v>
      </c>
      <c r="AM22" s="102">
        <f>IF($E$2="XADREZ",
     IFERROR(VLOOKUP(G22,AUXILIAR!AB:AC,2,TRUE),0),
     IF(AC19="SIM", 0, IFERROR(VLOOKUP(G22,AUXILIAR!AB:AC,2,TRUE),0))
)</f>
        <v>0</v>
      </c>
      <c r="AN22" s="102">
        <f t="shared" si="18"/>
        <v>0</v>
      </c>
      <c r="AO22" s="102">
        <f t="shared" si="19"/>
        <v>0</v>
      </c>
      <c r="AP22" s="102">
        <f t="shared" si="20"/>
        <v>0</v>
      </c>
      <c r="AQ22" s="102" t="str">
        <f>IFERROR(INDEX(AUXILIAR!$AG$4:$AG$21,MATCH(G22,AUXILIAR!$AH$4:$AH$21,0))*AM22,"-")</f>
        <v>-</v>
      </c>
      <c r="AR22" s="107" t="str">
        <f>IF(R22="GUILHOTINA",IFERROR(VLOOKUP(G22,AUXILIAR!$Q:$S,3,FALSE),""),IF(R22="LASER",IFERROR(VLOOKUP(G22,AUXILIAR!$E:$I,3,FALSE),""),IF(R22="PLASMA",IFERROR(VLOOKUP(G22,AUXILIAR!$K:$O,3,FALSE),""),"")))</f>
        <v/>
      </c>
      <c r="AS22" s="89" t="str">
        <f t="shared" si="21"/>
        <v/>
      </c>
      <c r="AT22" s="89" t="str">
        <f t="shared" si="22"/>
        <v/>
      </c>
      <c r="AU22" s="89" t="str">
        <f t="shared" si="23"/>
        <v/>
      </c>
      <c r="AV22" s="89" t="str">
        <f t="shared" si="24"/>
        <v/>
      </c>
      <c r="AW22" s="89" t="str">
        <f t="shared" si="25"/>
        <v/>
      </c>
      <c r="AY22" s="144">
        <f t="shared" si="1"/>
        <v>0</v>
      </c>
    </row>
    <row r="23" spans="1:51" hidden="1" x14ac:dyDescent="0.35">
      <c r="A23" s="85"/>
      <c r="B23" s="85"/>
      <c r="C23" s="85"/>
      <c r="D23" s="85"/>
      <c r="E23" s="86"/>
      <c r="F23" s="86"/>
      <c r="G23" s="86"/>
      <c r="H23" s="87"/>
      <c r="I23" s="87"/>
      <c r="J23" s="85"/>
      <c r="K23" s="101">
        <v>1200</v>
      </c>
      <c r="L23" s="90" t="str">
        <f t="shared" si="2"/>
        <v/>
      </c>
      <c r="M23" s="91" t="str">
        <f t="shared" si="3"/>
        <v/>
      </c>
      <c r="N23" s="91"/>
      <c r="O23" s="91">
        <f>IF(L23="",0,IFERROR(N23+INDEX(AUXILIAR!$AO$3:$AO$8,MATCH(L23,AUXILIAR!$AP$3:$AP$8,1)),N23))</f>
        <v>0</v>
      </c>
      <c r="P23" s="92">
        <f t="shared" si="5"/>
        <v>0</v>
      </c>
      <c r="Q23" s="92">
        <f t="shared" si="6"/>
        <v>0</v>
      </c>
      <c r="R23" s="92" t="s">
        <v>0</v>
      </c>
      <c r="S23" s="88">
        <f t="shared" si="7"/>
        <v>0</v>
      </c>
      <c r="T23" s="102">
        <f>((AM23/(1+AUXILIAR!$BJ$4))-((AM23/(1+AUXILIAR!$BJ$4))*AUXILIAR!$BK$4))-(((AM23/(1+AUXILIAR!$BJ$4))-((AM23/(1+AUXILIAR!$BJ$4))*AUXILIAR!$BK$4))*((AUXILIAR!$BL$4+AUXILIAR!$BM$4)))</f>
        <v>0</v>
      </c>
      <c r="U23" s="102">
        <f>((S23/(1+AUXILIAR!$BJ$7))-((S23/(1+AUXILIAR!$BJ$7))*AUXILIAR!$BK$7))-(((S23/(1+AUXILIAR!$BJ$7))-((S23/(1+AUXILIAR!$BJ$7))*AUXILIAR!$BK$7))*((AUXILIAR!$BL$7+AUXILIAR!$BM$7)))</f>
        <v>0</v>
      </c>
      <c r="V23" s="103">
        <f>AM23-(AM23/(1+AUXILIAR!$BJ$4))</f>
        <v>0</v>
      </c>
      <c r="W23" s="104">
        <f>(AM23-V23)*AUXILIAR!$BK$4</f>
        <v>0</v>
      </c>
      <c r="X23" s="104">
        <f>(AM23-V23-W23)*(AUXILIAR!$BL$4+AUXILIAR!$BM$4)</f>
        <v>0</v>
      </c>
      <c r="Y23" s="104">
        <f>X23-(X23/(1+AUXILIAR!$BJ$7))</f>
        <v>0</v>
      </c>
      <c r="Z23" s="104">
        <f>(S23-Y23)*AUXILIAR!$BK$7</f>
        <v>0</v>
      </c>
      <c r="AA23" s="104">
        <f>(S23-Y23-Z23)*(AUXILIAR!$BL$7+AUXILIAR!$BM$7)</f>
        <v>0</v>
      </c>
      <c r="AB23" s="105">
        <f t="shared" si="8"/>
        <v>0</v>
      </c>
      <c r="AC23" s="105">
        <f t="shared" si="9"/>
        <v>0</v>
      </c>
      <c r="AD23" s="105">
        <f t="shared" si="10"/>
        <v>0</v>
      </c>
      <c r="AE23" s="105">
        <f t="shared" si="11"/>
        <v>0</v>
      </c>
      <c r="AF23" s="105">
        <f t="shared" si="12"/>
        <v>0</v>
      </c>
      <c r="AG23" s="104">
        <f t="shared" si="13"/>
        <v>0</v>
      </c>
      <c r="AH23" s="102">
        <f t="shared" si="14"/>
        <v>0</v>
      </c>
      <c r="AI23" s="106">
        <f t="shared" si="15"/>
        <v>0</v>
      </c>
      <c r="AJ23" s="102">
        <f t="shared" si="16"/>
        <v>0</v>
      </c>
      <c r="AK23" s="102">
        <f t="shared" si="17"/>
        <v>0</v>
      </c>
      <c r="AL23" s="102">
        <f>AUXILIAR!$BM$12</f>
        <v>1</v>
      </c>
      <c r="AM23" s="102">
        <f>IF($E$2="XADREZ",
     IFERROR(VLOOKUP(G23,AUXILIAR!AB:AC,2,TRUE),0),
     IF(AC20="SIM", 0, IFERROR(VLOOKUP(G23,AUXILIAR!AB:AC,2,TRUE),0))
)</f>
        <v>0</v>
      </c>
      <c r="AN23" s="102">
        <f t="shared" si="18"/>
        <v>0</v>
      </c>
      <c r="AO23" s="102">
        <f t="shared" si="19"/>
        <v>0</v>
      </c>
      <c r="AP23" s="102">
        <f t="shared" si="20"/>
        <v>0</v>
      </c>
      <c r="AQ23" s="102" t="str">
        <f>IFERROR(INDEX(AUXILIAR!$AG$4:$AG$21,MATCH(G23,AUXILIAR!$AH$4:$AH$21,0))*AM23,"-")</f>
        <v>-</v>
      </c>
      <c r="AR23" s="107" t="str">
        <f>IF(R23="GUILHOTINA",IFERROR(VLOOKUP(G23,AUXILIAR!$Q:$S,3,FALSE),""),IF(R23="LASER",IFERROR(VLOOKUP(G23,AUXILIAR!$E:$I,3,FALSE),""),IF(R23="PLASMA",IFERROR(VLOOKUP(G23,AUXILIAR!$K:$O,3,FALSE),""),"")))</f>
        <v/>
      </c>
      <c r="AS23" s="89" t="str">
        <f t="shared" si="21"/>
        <v/>
      </c>
      <c r="AT23" s="89" t="str">
        <f t="shared" si="22"/>
        <v/>
      </c>
      <c r="AU23" s="89" t="str">
        <f t="shared" si="23"/>
        <v/>
      </c>
      <c r="AV23" s="89" t="str">
        <f t="shared" si="24"/>
        <v/>
      </c>
      <c r="AW23" s="89" t="str">
        <f t="shared" si="25"/>
        <v/>
      </c>
      <c r="AY23" s="144">
        <f t="shared" si="1"/>
        <v>0</v>
      </c>
    </row>
    <row r="24" spans="1:51" hidden="1" x14ac:dyDescent="0.35">
      <c r="A24" s="85"/>
      <c r="B24" s="85"/>
      <c r="C24" s="85"/>
      <c r="D24" s="85"/>
      <c r="E24" s="86"/>
      <c r="F24" s="86"/>
      <c r="G24" s="86"/>
      <c r="H24" s="87"/>
      <c r="I24" s="87"/>
      <c r="J24" s="85"/>
      <c r="K24" s="101">
        <v>1200</v>
      </c>
      <c r="L24" s="90" t="str">
        <f t="shared" si="2"/>
        <v/>
      </c>
      <c r="M24" s="91" t="str">
        <f t="shared" si="3"/>
        <v/>
      </c>
      <c r="N24" s="91"/>
      <c r="O24" s="91">
        <f>IF(L24="",0,IFERROR(N24+INDEX(AUXILIAR!$AO$3:$AO$8,MATCH(L24,AUXILIAR!$AP$3:$AP$8,1)),N24))</f>
        <v>0</v>
      </c>
      <c r="P24" s="92">
        <f t="shared" si="5"/>
        <v>0</v>
      </c>
      <c r="Q24" s="92">
        <f t="shared" si="6"/>
        <v>0</v>
      </c>
      <c r="R24" s="92" t="s">
        <v>0</v>
      </c>
      <c r="S24" s="88">
        <f t="shared" si="7"/>
        <v>0</v>
      </c>
      <c r="T24" s="102">
        <f>((AM24/(1+AUXILIAR!$BJ$4))-((AM24/(1+AUXILIAR!$BJ$4))*AUXILIAR!$BK$4))-(((AM24/(1+AUXILIAR!$BJ$4))-((AM24/(1+AUXILIAR!$BJ$4))*AUXILIAR!$BK$4))*((AUXILIAR!$BL$4+AUXILIAR!$BM$4)))</f>
        <v>0</v>
      </c>
      <c r="U24" s="102">
        <f>((S24/(1+AUXILIAR!$BJ$7))-((S24/(1+AUXILIAR!$BJ$7))*AUXILIAR!$BK$7))-(((S24/(1+AUXILIAR!$BJ$7))-((S24/(1+AUXILIAR!$BJ$7))*AUXILIAR!$BK$7))*((AUXILIAR!$BL$7+AUXILIAR!$BM$7)))</f>
        <v>0</v>
      </c>
      <c r="V24" s="103">
        <f>AM24-(AM24/(1+AUXILIAR!$BJ$4))</f>
        <v>0</v>
      </c>
      <c r="W24" s="104">
        <f>(AM24-V24)*AUXILIAR!$BK$4</f>
        <v>0</v>
      </c>
      <c r="X24" s="104">
        <f>(AM24-V24-W24)*(AUXILIAR!$BL$4+AUXILIAR!$BM$4)</f>
        <v>0</v>
      </c>
      <c r="Y24" s="104">
        <f>X24-(X24/(1+AUXILIAR!$BJ$7))</f>
        <v>0</v>
      </c>
      <c r="Z24" s="104">
        <f>(S24-Y24)*AUXILIAR!$BK$7</f>
        <v>0</v>
      </c>
      <c r="AA24" s="104">
        <f>(S24-Y24-Z24)*(AUXILIAR!$BL$7+AUXILIAR!$BM$7)</f>
        <v>0</v>
      </c>
      <c r="AB24" s="105">
        <f t="shared" si="8"/>
        <v>0</v>
      </c>
      <c r="AC24" s="105">
        <f t="shared" si="9"/>
        <v>0</v>
      </c>
      <c r="AD24" s="105">
        <f t="shared" si="10"/>
        <v>0</v>
      </c>
      <c r="AE24" s="105">
        <f t="shared" si="11"/>
        <v>0</v>
      </c>
      <c r="AF24" s="105">
        <f t="shared" si="12"/>
        <v>0</v>
      </c>
      <c r="AG24" s="104">
        <f t="shared" si="13"/>
        <v>0</v>
      </c>
      <c r="AH24" s="102">
        <f t="shared" si="14"/>
        <v>0</v>
      </c>
      <c r="AI24" s="106">
        <f t="shared" si="15"/>
        <v>0</v>
      </c>
      <c r="AJ24" s="102">
        <f t="shared" si="16"/>
        <v>0</v>
      </c>
      <c r="AK24" s="102">
        <f t="shared" si="17"/>
        <v>0</v>
      </c>
      <c r="AL24" s="102">
        <f>AUXILIAR!$BM$12</f>
        <v>1</v>
      </c>
      <c r="AM24" s="102">
        <f>IF($E$2="XADREZ",
     IFERROR(VLOOKUP(G24,AUXILIAR!AB:AC,2,TRUE),0),
     IF(AC21="SIM", 0, IFERROR(VLOOKUP(G24,AUXILIAR!AB:AC,2,TRUE),0))
)</f>
        <v>0</v>
      </c>
      <c r="AN24" s="102">
        <f t="shared" si="18"/>
        <v>0</v>
      </c>
      <c r="AO24" s="102">
        <f t="shared" si="19"/>
        <v>0</v>
      </c>
      <c r="AP24" s="102">
        <f t="shared" si="20"/>
        <v>0</v>
      </c>
      <c r="AQ24" s="102" t="str">
        <f>IFERROR(INDEX(AUXILIAR!$AG$4:$AG$21,MATCH(G24,AUXILIAR!$AH$4:$AH$21,0))*AM24,"-")</f>
        <v>-</v>
      </c>
      <c r="AR24" s="107" t="str">
        <f>IF(R24="GUILHOTINA",IFERROR(VLOOKUP(G24,AUXILIAR!$Q:$S,3,FALSE),""),IF(R24="LASER",IFERROR(VLOOKUP(G24,AUXILIAR!$E:$I,3,FALSE),""),IF(R24="PLASMA",IFERROR(VLOOKUP(G24,AUXILIAR!$K:$O,3,FALSE),""),"")))</f>
        <v/>
      </c>
      <c r="AS24" s="89" t="str">
        <f t="shared" si="21"/>
        <v/>
      </c>
      <c r="AT24" s="89" t="str">
        <f t="shared" si="22"/>
        <v/>
      </c>
      <c r="AU24" s="89" t="str">
        <f t="shared" si="23"/>
        <v/>
      </c>
      <c r="AV24" s="89" t="str">
        <f t="shared" si="24"/>
        <v/>
      </c>
      <c r="AW24" s="89" t="str">
        <f t="shared" si="25"/>
        <v/>
      </c>
      <c r="AY24" s="144">
        <f t="shared" si="1"/>
        <v>0</v>
      </c>
    </row>
    <row r="25" spans="1:51" hidden="1" x14ac:dyDescent="0.35">
      <c r="A25" s="85"/>
      <c r="B25" s="85"/>
      <c r="C25" s="85"/>
      <c r="D25" s="85"/>
      <c r="E25" s="86"/>
      <c r="F25" s="86"/>
      <c r="G25" s="86"/>
      <c r="H25" s="87"/>
      <c r="I25" s="87"/>
      <c r="J25" s="85"/>
      <c r="K25" s="101">
        <v>1200</v>
      </c>
      <c r="L25" s="90" t="str">
        <f t="shared" si="2"/>
        <v/>
      </c>
      <c r="M25" s="91" t="str">
        <f t="shared" si="3"/>
        <v/>
      </c>
      <c r="N25" s="91"/>
      <c r="O25" s="91">
        <f>IF(L25="",0,IFERROR(N25+INDEX(AUXILIAR!$AO$3:$AO$8,MATCH(L25,AUXILIAR!$AP$3:$AP$8,1)),N25))</f>
        <v>0</v>
      </c>
      <c r="P25" s="92">
        <f t="shared" si="5"/>
        <v>0</v>
      </c>
      <c r="Q25" s="92">
        <f t="shared" si="6"/>
        <v>0</v>
      </c>
      <c r="R25" s="92" t="s">
        <v>0</v>
      </c>
      <c r="S25" s="88">
        <f t="shared" si="7"/>
        <v>0</v>
      </c>
      <c r="T25" s="102">
        <f>((AM25/(1+AUXILIAR!$BJ$4))-((AM25/(1+AUXILIAR!$BJ$4))*AUXILIAR!$BK$4))-(((AM25/(1+AUXILIAR!$BJ$4))-((AM25/(1+AUXILIAR!$BJ$4))*AUXILIAR!$BK$4))*((AUXILIAR!$BL$4+AUXILIAR!$BM$4)))</f>
        <v>0</v>
      </c>
      <c r="U25" s="102">
        <f>((S25/(1+AUXILIAR!$BJ$7))-((S25/(1+AUXILIAR!$BJ$7))*AUXILIAR!$BK$7))-(((S25/(1+AUXILIAR!$BJ$7))-((S25/(1+AUXILIAR!$BJ$7))*AUXILIAR!$BK$7))*((AUXILIAR!$BL$7+AUXILIAR!$BM$7)))</f>
        <v>0</v>
      </c>
      <c r="V25" s="103">
        <f>AM25-(AM25/(1+AUXILIAR!$BJ$4))</f>
        <v>0</v>
      </c>
      <c r="W25" s="104">
        <f>(AM25-V25)*AUXILIAR!$BK$4</f>
        <v>0</v>
      </c>
      <c r="X25" s="104">
        <f>(AM25-V25-W25)*(AUXILIAR!$BL$4+AUXILIAR!$BM$4)</f>
        <v>0</v>
      </c>
      <c r="Y25" s="104">
        <f>X25-(X25/(1+AUXILIAR!$BJ$7))</f>
        <v>0</v>
      </c>
      <c r="Z25" s="104">
        <f>(S25-Y25)*AUXILIAR!$BK$7</f>
        <v>0</v>
      </c>
      <c r="AA25" s="104">
        <f>(S25-Y25-Z25)*(AUXILIAR!$BL$7+AUXILIAR!$BM$7)</f>
        <v>0</v>
      </c>
      <c r="AB25" s="105">
        <f t="shared" si="8"/>
        <v>0</v>
      </c>
      <c r="AC25" s="105">
        <f t="shared" si="9"/>
        <v>0</v>
      </c>
      <c r="AD25" s="105">
        <f t="shared" si="10"/>
        <v>0</v>
      </c>
      <c r="AE25" s="105">
        <f t="shared" si="11"/>
        <v>0</v>
      </c>
      <c r="AF25" s="105">
        <f t="shared" si="12"/>
        <v>0</v>
      </c>
      <c r="AG25" s="104">
        <f t="shared" si="13"/>
        <v>0</v>
      </c>
      <c r="AH25" s="102">
        <f t="shared" si="14"/>
        <v>0</v>
      </c>
      <c r="AI25" s="106">
        <f t="shared" si="15"/>
        <v>0</v>
      </c>
      <c r="AJ25" s="102">
        <f t="shared" si="16"/>
        <v>0</v>
      </c>
      <c r="AK25" s="102">
        <f t="shared" si="17"/>
        <v>0</v>
      </c>
      <c r="AL25" s="102">
        <f>AUXILIAR!$BM$12</f>
        <v>1</v>
      </c>
      <c r="AM25" s="102">
        <f>IF($E$2="XADREZ",
     IFERROR(VLOOKUP(G25,AUXILIAR!AB:AC,2,TRUE),0),
     IF(AC22="SIM", 0, IFERROR(VLOOKUP(G25,AUXILIAR!AB:AC,2,TRUE),0))
)</f>
        <v>0</v>
      </c>
      <c r="AN25" s="102">
        <f t="shared" si="18"/>
        <v>0</v>
      </c>
      <c r="AO25" s="102">
        <f t="shared" si="19"/>
        <v>0</v>
      </c>
      <c r="AP25" s="102">
        <f t="shared" si="20"/>
        <v>0</v>
      </c>
      <c r="AQ25" s="102" t="str">
        <f>IFERROR(INDEX(AUXILIAR!$AG$4:$AG$21,MATCH(G25,AUXILIAR!$AH$4:$AH$21,0))*AM25,"-")</f>
        <v>-</v>
      </c>
      <c r="AR25" s="107" t="str">
        <f>IF(R25="GUILHOTINA",IFERROR(VLOOKUP(G25,AUXILIAR!$Q:$S,3,FALSE),""),IF(R25="LASER",IFERROR(VLOOKUP(G25,AUXILIAR!$E:$I,3,FALSE),""),IF(R25="PLASMA",IFERROR(VLOOKUP(G25,AUXILIAR!$K:$O,3,FALSE),""),"")))</f>
        <v/>
      </c>
      <c r="AS25" s="89" t="str">
        <f t="shared" si="21"/>
        <v/>
      </c>
      <c r="AT25" s="89" t="str">
        <f t="shared" si="22"/>
        <v/>
      </c>
      <c r="AU25" s="89" t="str">
        <f t="shared" si="23"/>
        <v/>
      </c>
      <c r="AV25" s="89" t="str">
        <f t="shared" si="24"/>
        <v/>
      </c>
      <c r="AW25" s="89" t="str">
        <f t="shared" si="25"/>
        <v/>
      </c>
      <c r="AY25" s="144">
        <f t="shared" si="1"/>
        <v>0</v>
      </c>
    </row>
    <row r="26" spans="1:51" hidden="1" x14ac:dyDescent="0.35">
      <c r="A26" s="85"/>
      <c r="B26" s="85"/>
      <c r="C26" s="85"/>
      <c r="D26" s="85"/>
      <c r="E26" s="86"/>
      <c r="F26" s="86"/>
      <c r="G26" s="86"/>
      <c r="H26" s="87"/>
      <c r="I26" s="87"/>
      <c r="J26" s="85"/>
      <c r="K26" s="101">
        <v>1200</v>
      </c>
      <c r="L26" s="90" t="str">
        <f t="shared" si="2"/>
        <v/>
      </c>
      <c r="M26" s="91" t="str">
        <f t="shared" si="3"/>
        <v/>
      </c>
      <c r="N26" s="91"/>
      <c r="O26" s="91">
        <f>IF(L26="",0,IFERROR(N26+INDEX(AUXILIAR!$AO$3:$AO$8,MATCH(L26,AUXILIAR!$AP$3:$AP$8,1)),N26))</f>
        <v>0</v>
      </c>
      <c r="P26" s="92">
        <f t="shared" si="5"/>
        <v>0</v>
      </c>
      <c r="Q26" s="92">
        <f t="shared" si="6"/>
        <v>0</v>
      </c>
      <c r="R26" s="92" t="s">
        <v>0</v>
      </c>
      <c r="S26" s="88">
        <f t="shared" si="7"/>
        <v>0</v>
      </c>
      <c r="T26" s="102">
        <f>((AM26/(1+AUXILIAR!$BJ$4))-((AM26/(1+AUXILIAR!$BJ$4))*AUXILIAR!$BK$4))-(((AM26/(1+AUXILIAR!$BJ$4))-((AM26/(1+AUXILIAR!$BJ$4))*AUXILIAR!$BK$4))*((AUXILIAR!$BL$4+AUXILIAR!$BM$4)))</f>
        <v>0</v>
      </c>
      <c r="U26" s="102">
        <f>((S26/(1+AUXILIAR!$BJ$7))-((S26/(1+AUXILIAR!$BJ$7))*AUXILIAR!$BK$7))-(((S26/(1+AUXILIAR!$BJ$7))-((S26/(1+AUXILIAR!$BJ$7))*AUXILIAR!$BK$7))*((AUXILIAR!$BL$7+AUXILIAR!$BM$7)))</f>
        <v>0</v>
      </c>
      <c r="V26" s="103">
        <f>AM26-(AM26/(1+AUXILIAR!$BJ$4))</f>
        <v>0</v>
      </c>
      <c r="W26" s="104">
        <f>(AM26-V26)*AUXILIAR!$BK$4</f>
        <v>0</v>
      </c>
      <c r="X26" s="104">
        <f>(AM26-V26-W26)*(AUXILIAR!$BL$4+AUXILIAR!$BM$4)</f>
        <v>0</v>
      </c>
      <c r="Y26" s="104">
        <f>X26-(X26/(1+AUXILIAR!$BJ$7))</f>
        <v>0</v>
      </c>
      <c r="Z26" s="104">
        <f>(S26-Y26)*AUXILIAR!$BK$7</f>
        <v>0</v>
      </c>
      <c r="AA26" s="104">
        <f>(S26-Y26-Z26)*(AUXILIAR!$BL$7+AUXILIAR!$BM$7)</f>
        <v>0</v>
      </c>
      <c r="AB26" s="105">
        <f t="shared" si="8"/>
        <v>0</v>
      </c>
      <c r="AC26" s="105">
        <f t="shared" si="9"/>
        <v>0</v>
      </c>
      <c r="AD26" s="105">
        <f t="shared" si="10"/>
        <v>0</v>
      </c>
      <c r="AE26" s="105">
        <f t="shared" si="11"/>
        <v>0</v>
      </c>
      <c r="AF26" s="105">
        <f t="shared" si="12"/>
        <v>0</v>
      </c>
      <c r="AG26" s="104">
        <f t="shared" si="13"/>
        <v>0</v>
      </c>
      <c r="AH26" s="102">
        <f t="shared" si="14"/>
        <v>0</v>
      </c>
      <c r="AI26" s="106">
        <f t="shared" si="15"/>
        <v>0</v>
      </c>
      <c r="AJ26" s="102">
        <f t="shared" si="16"/>
        <v>0</v>
      </c>
      <c r="AK26" s="102">
        <f t="shared" si="17"/>
        <v>0</v>
      </c>
      <c r="AL26" s="102">
        <f>AUXILIAR!$BM$12</f>
        <v>1</v>
      </c>
      <c r="AM26" s="102">
        <f>IF($E$2="XADREZ",
     IFERROR(VLOOKUP(G26,AUXILIAR!AB:AC,2,TRUE),0),
     IF(AC23="SIM", 0, IFERROR(VLOOKUP(G26,AUXILIAR!AB:AC,2,TRUE),0))
)</f>
        <v>0</v>
      </c>
      <c r="AN26" s="102">
        <f t="shared" si="18"/>
        <v>0</v>
      </c>
      <c r="AO26" s="102">
        <f t="shared" si="19"/>
        <v>0</v>
      </c>
      <c r="AP26" s="102">
        <f t="shared" si="20"/>
        <v>0</v>
      </c>
      <c r="AQ26" s="102" t="str">
        <f>IFERROR(INDEX(AUXILIAR!$AG$4:$AG$21,MATCH(G26,AUXILIAR!$AH$4:$AH$21,0))*AM26,"-")</f>
        <v>-</v>
      </c>
      <c r="AR26" s="107" t="str">
        <f>IF(R26="GUILHOTINA",IFERROR(VLOOKUP(G26,AUXILIAR!$Q:$S,3,FALSE),""),IF(R26="LASER",IFERROR(VLOOKUP(G26,AUXILIAR!$E:$I,3,FALSE),""),IF(R26="PLASMA",IFERROR(VLOOKUP(G26,AUXILIAR!$K:$O,3,FALSE),""),"")))</f>
        <v/>
      </c>
      <c r="AS26" s="89" t="str">
        <f t="shared" si="21"/>
        <v/>
      </c>
      <c r="AT26" s="89" t="str">
        <f t="shared" si="22"/>
        <v/>
      </c>
      <c r="AU26" s="89" t="str">
        <f t="shared" si="23"/>
        <v/>
      </c>
      <c r="AV26" s="89" t="str">
        <f t="shared" si="24"/>
        <v/>
      </c>
      <c r="AW26" s="89" t="str">
        <f t="shared" si="25"/>
        <v/>
      </c>
      <c r="AY26" s="144">
        <f t="shared" si="1"/>
        <v>0</v>
      </c>
    </row>
    <row r="27" spans="1:51" hidden="1" x14ac:dyDescent="0.35">
      <c r="A27" s="85"/>
      <c r="B27" s="85"/>
      <c r="C27" s="85"/>
      <c r="D27" s="85"/>
      <c r="E27" s="86"/>
      <c r="F27" s="86"/>
      <c r="G27" s="86"/>
      <c r="H27" s="87"/>
      <c r="I27" s="87"/>
      <c r="J27" s="85"/>
      <c r="K27" s="101">
        <v>1200</v>
      </c>
      <c r="L27" s="90" t="str">
        <f t="shared" si="2"/>
        <v/>
      </c>
      <c r="M27" s="91" t="str">
        <f t="shared" si="3"/>
        <v/>
      </c>
      <c r="N27" s="91"/>
      <c r="O27" s="91">
        <f>IF(L27="",0,IFERROR(N27+INDEX(AUXILIAR!$AO$3:$AO$8,MATCH(L27,AUXILIAR!$AP$3:$AP$8,1)),N27))</f>
        <v>0</v>
      </c>
      <c r="P27" s="92">
        <f t="shared" si="5"/>
        <v>0</v>
      </c>
      <c r="Q27" s="92">
        <f t="shared" si="6"/>
        <v>0</v>
      </c>
      <c r="R27" s="92" t="s">
        <v>0</v>
      </c>
      <c r="S27" s="88">
        <f t="shared" si="7"/>
        <v>0</v>
      </c>
      <c r="T27" s="102">
        <f>((AM27/(1+AUXILIAR!$BJ$4))-((AM27/(1+AUXILIAR!$BJ$4))*AUXILIAR!$BK$4))-(((AM27/(1+AUXILIAR!$BJ$4))-((AM27/(1+AUXILIAR!$BJ$4))*AUXILIAR!$BK$4))*((AUXILIAR!$BL$4+AUXILIAR!$BM$4)))</f>
        <v>0</v>
      </c>
      <c r="U27" s="102">
        <f>((S27/(1+AUXILIAR!$BJ$7))-((S27/(1+AUXILIAR!$BJ$7))*AUXILIAR!$BK$7))-(((S27/(1+AUXILIAR!$BJ$7))-((S27/(1+AUXILIAR!$BJ$7))*AUXILIAR!$BK$7))*((AUXILIAR!$BL$7+AUXILIAR!$BM$7)))</f>
        <v>0</v>
      </c>
      <c r="V27" s="103">
        <f>AM27-(AM27/(1+AUXILIAR!$BJ$4))</f>
        <v>0</v>
      </c>
      <c r="W27" s="104">
        <f>(AM27-V27)*AUXILIAR!$BK$4</f>
        <v>0</v>
      </c>
      <c r="X27" s="104">
        <f>(AM27-V27-W27)*(AUXILIAR!$BL$4+AUXILIAR!$BM$4)</f>
        <v>0</v>
      </c>
      <c r="Y27" s="104">
        <f>X27-(X27/(1+AUXILIAR!$BJ$7))</f>
        <v>0</v>
      </c>
      <c r="Z27" s="104">
        <f>(S27-Y27)*AUXILIAR!$BK$7</f>
        <v>0</v>
      </c>
      <c r="AA27" s="104">
        <f>(S27-Y27-Z27)*(AUXILIAR!$BL$7+AUXILIAR!$BM$7)</f>
        <v>0</v>
      </c>
      <c r="AB27" s="105">
        <f t="shared" si="8"/>
        <v>0</v>
      </c>
      <c r="AC27" s="105">
        <f t="shared" si="9"/>
        <v>0</v>
      </c>
      <c r="AD27" s="105">
        <f t="shared" si="10"/>
        <v>0</v>
      </c>
      <c r="AE27" s="105">
        <f t="shared" si="11"/>
        <v>0</v>
      </c>
      <c r="AF27" s="105">
        <f t="shared" si="12"/>
        <v>0</v>
      </c>
      <c r="AG27" s="104">
        <f t="shared" si="13"/>
        <v>0</v>
      </c>
      <c r="AH27" s="102">
        <f t="shared" si="14"/>
        <v>0</v>
      </c>
      <c r="AI27" s="106">
        <f t="shared" si="15"/>
        <v>0</v>
      </c>
      <c r="AJ27" s="102">
        <f t="shared" si="16"/>
        <v>0</v>
      </c>
      <c r="AK27" s="102">
        <f t="shared" si="17"/>
        <v>0</v>
      </c>
      <c r="AL27" s="102">
        <f>AUXILIAR!$BM$12</f>
        <v>1</v>
      </c>
      <c r="AM27" s="102">
        <f>IF($E$2="XADREZ",
     IFERROR(VLOOKUP(G27,AUXILIAR!AB:AC,2,TRUE),0),
     IF(AC24="SIM", 0, IFERROR(VLOOKUP(G27,AUXILIAR!AB:AC,2,TRUE),0))
)</f>
        <v>0</v>
      </c>
      <c r="AN27" s="102">
        <f t="shared" si="18"/>
        <v>0</v>
      </c>
      <c r="AO27" s="102">
        <f t="shared" si="19"/>
        <v>0</v>
      </c>
      <c r="AP27" s="102">
        <f t="shared" si="20"/>
        <v>0</v>
      </c>
      <c r="AQ27" s="102" t="str">
        <f>IFERROR(INDEX(AUXILIAR!$AG$4:$AG$21,MATCH(G27,AUXILIAR!$AH$4:$AH$21,0))*AM27,"-")</f>
        <v>-</v>
      </c>
      <c r="AR27" s="107" t="str">
        <f>IF(R27="GUILHOTINA",IFERROR(VLOOKUP(G27,AUXILIAR!$Q:$S,3,FALSE),""),IF(R27="LASER",IFERROR(VLOOKUP(G27,AUXILIAR!$E:$I,3,FALSE),""),IF(R27="PLASMA",IFERROR(VLOOKUP(G27,AUXILIAR!$K:$O,3,FALSE),""),"")))</f>
        <v/>
      </c>
      <c r="AS27" s="89" t="str">
        <f t="shared" si="21"/>
        <v/>
      </c>
      <c r="AT27" s="89" t="str">
        <f t="shared" si="22"/>
        <v/>
      </c>
      <c r="AU27" s="89" t="str">
        <f t="shared" si="23"/>
        <v/>
      </c>
      <c r="AV27" s="89" t="str">
        <f t="shared" si="24"/>
        <v/>
      </c>
      <c r="AW27" s="89" t="str">
        <f t="shared" si="25"/>
        <v/>
      </c>
      <c r="AY27" s="144">
        <f t="shared" si="1"/>
        <v>0</v>
      </c>
    </row>
    <row r="28" spans="1:51" hidden="1" x14ac:dyDescent="0.35">
      <c r="A28" s="85"/>
      <c r="B28" s="85"/>
      <c r="C28" s="85"/>
      <c r="D28" s="85"/>
      <c r="E28" s="86"/>
      <c r="F28" s="86"/>
      <c r="G28" s="86"/>
      <c r="H28" s="87"/>
      <c r="I28" s="87"/>
      <c r="J28" s="85"/>
      <c r="K28" s="101">
        <v>1200</v>
      </c>
      <c r="L28" s="90" t="str">
        <f t="shared" si="2"/>
        <v/>
      </c>
      <c r="M28" s="91" t="str">
        <f t="shared" si="3"/>
        <v/>
      </c>
      <c r="N28" s="91"/>
      <c r="O28" s="91">
        <f>IF(L28="",0,IFERROR(N28+INDEX(AUXILIAR!$AO$3:$AO$8,MATCH(L28,AUXILIAR!$AP$3:$AP$8,1)),N28))</f>
        <v>0</v>
      </c>
      <c r="P28" s="92">
        <f t="shared" si="5"/>
        <v>0</v>
      </c>
      <c r="Q28" s="92">
        <f t="shared" si="6"/>
        <v>0</v>
      </c>
      <c r="R28" s="92" t="s">
        <v>0</v>
      </c>
      <c r="S28" s="88">
        <f t="shared" si="7"/>
        <v>0</v>
      </c>
      <c r="T28" s="102">
        <f>((AM28/(1+AUXILIAR!$BJ$4))-((AM28/(1+AUXILIAR!$BJ$4))*AUXILIAR!$BK$4))-(((AM28/(1+AUXILIAR!$BJ$4))-((AM28/(1+AUXILIAR!$BJ$4))*AUXILIAR!$BK$4))*((AUXILIAR!$BL$4+AUXILIAR!$BM$4)))</f>
        <v>0</v>
      </c>
      <c r="U28" s="102">
        <f>((S28/(1+AUXILIAR!$BJ$7))-((S28/(1+AUXILIAR!$BJ$7))*AUXILIAR!$BK$7))-(((S28/(1+AUXILIAR!$BJ$7))-((S28/(1+AUXILIAR!$BJ$7))*AUXILIAR!$BK$7))*((AUXILIAR!$BL$7+AUXILIAR!$BM$7)))</f>
        <v>0</v>
      </c>
      <c r="V28" s="103">
        <f>AM28-(AM28/(1+AUXILIAR!$BJ$4))</f>
        <v>0</v>
      </c>
      <c r="W28" s="104">
        <f>(AM28-V28)*AUXILIAR!$BK$4</f>
        <v>0</v>
      </c>
      <c r="X28" s="104">
        <f>(AM28-V28-W28)*(AUXILIAR!$BL$4+AUXILIAR!$BM$4)</f>
        <v>0</v>
      </c>
      <c r="Y28" s="104">
        <f>X28-(X28/(1+AUXILIAR!$BJ$7))</f>
        <v>0</v>
      </c>
      <c r="Z28" s="104">
        <f>(S28-Y28)*AUXILIAR!$BK$7</f>
        <v>0</v>
      </c>
      <c r="AA28" s="104">
        <f>(S28-Y28-Z28)*(AUXILIAR!$BL$7+AUXILIAR!$BM$7)</f>
        <v>0</v>
      </c>
      <c r="AB28" s="105">
        <f t="shared" si="8"/>
        <v>0</v>
      </c>
      <c r="AC28" s="105">
        <f t="shared" si="9"/>
        <v>0</v>
      </c>
      <c r="AD28" s="105">
        <f t="shared" si="10"/>
        <v>0</v>
      </c>
      <c r="AE28" s="105">
        <f t="shared" si="11"/>
        <v>0</v>
      </c>
      <c r="AF28" s="105">
        <f t="shared" si="12"/>
        <v>0</v>
      </c>
      <c r="AG28" s="104">
        <f t="shared" si="13"/>
        <v>0</v>
      </c>
      <c r="AH28" s="102">
        <f t="shared" si="14"/>
        <v>0</v>
      </c>
      <c r="AI28" s="106">
        <f t="shared" si="15"/>
        <v>0</v>
      </c>
      <c r="AJ28" s="102">
        <f t="shared" si="16"/>
        <v>0</v>
      </c>
      <c r="AK28" s="102">
        <f t="shared" si="17"/>
        <v>0</v>
      </c>
      <c r="AL28" s="102">
        <f>AUXILIAR!$BM$12</f>
        <v>1</v>
      </c>
      <c r="AM28" s="102">
        <f>IF($E$2="XADREZ",
     IFERROR(VLOOKUP(G28,AUXILIAR!AB:AC,2,TRUE),0),
     IF(AC25="SIM", 0, IFERROR(VLOOKUP(G28,AUXILIAR!AB:AC,2,TRUE),0))
)</f>
        <v>0</v>
      </c>
      <c r="AN28" s="102">
        <f t="shared" si="18"/>
        <v>0</v>
      </c>
      <c r="AO28" s="102">
        <f t="shared" si="19"/>
        <v>0</v>
      </c>
      <c r="AP28" s="102">
        <f t="shared" si="20"/>
        <v>0</v>
      </c>
      <c r="AQ28" s="102" t="str">
        <f>IFERROR(INDEX(AUXILIAR!$AG$4:$AG$21,MATCH(G28,AUXILIAR!$AH$4:$AH$21,0))*AM28,"-")</f>
        <v>-</v>
      </c>
      <c r="AR28" s="107" t="str">
        <f>IF(R28="GUILHOTINA",IFERROR(VLOOKUP(G28,AUXILIAR!$Q:$S,3,FALSE),""),IF(R28="LASER",IFERROR(VLOOKUP(G28,AUXILIAR!$E:$I,3,FALSE),""),IF(R28="PLASMA",IFERROR(VLOOKUP(G28,AUXILIAR!$K:$O,3,FALSE),""),"")))</f>
        <v/>
      </c>
      <c r="AS28" s="89" t="str">
        <f t="shared" si="21"/>
        <v/>
      </c>
      <c r="AT28" s="89" t="str">
        <f t="shared" si="22"/>
        <v/>
      </c>
      <c r="AU28" s="89" t="str">
        <f t="shared" si="23"/>
        <v/>
      </c>
      <c r="AV28" s="89" t="str">
        <f t="shared" si="24"/>
        <v/>
      </c>
      <c r="AW28" s="89" t="str">
        <f t="shared" si="25"/>
        <v/>
      </c>
      <c r="AY28" s="144">
        <f t="shared" si="1"/>
        <v>0</v>
      </c>
    </row>
    <row r="29" spans="1:51" hidden="1" x14ac:dyDescent="0.35">
      <c r="A29" s="85"/>
      <c r="B29" s="85"/>
      <c r="C29" s="85"/>
      <c r="D29" s="85"/>
      <c r="E29" s="86"/>
      <c r="F29" s="86"/>
      <c r="G29" s="86"/>
      <c r="H29" s="87"/>
      <c r="I29" s="87"/>
      <c r="J29" s="85"/>
      <c r="K29" s="101">
        <v>1200</v>
      </c>
      <c r="L29" s="90" t="str">
        <f t="shared" si="2"/>
        <v/>
      </c>
      <c r="M29" s="91" t="str">
        <f t="shared" si="3"/>
        <v/>
      </c>
      <c r="N29" s="91"/>
      <c r="O29" s="91">
        <f>IF(L29="",0,IFERROR(N29+INDEX(AUXILIAR!$AO$3:$AO$8,MATCH(L29,AUXILIAR!$AP$3:$AP$8,1)),N29))</f>
        <v>0</v>
      </c>
      <c r="P29" s="92">
        <f t="shared" si="5"/>
        <v>0</v>
      </c>
      <c r="Q29" s="92">
        <f t="shared" si="6"/>
        <v>0</v>
      </c>
      <c r="R29" s="92" t="s">
        <v>0</v>
      </c>
      <c r="S29" s="88">
        <f t="shared" si="7"/>
        <v>0</v>
      </c>
      <c r="T29" s="102">
        <f>((AM29/(1+AUXILIAR!$BJ$4))-((AM29/(1+AUXILIAR!$BJ$4))*AUXILIAR!$BK$4))-(((AM29/(1+AUXILIAR!$BJ$4))-((AM29/(1+AUXILIAR!$BJ$4))*AUXILIAR!$BK$4))*((AUXILIAR!$BL$4+AUXILIAR!$BM$4)))</f>
        <v>0</v>
      </c>
      <c r="U29" s="102">
        <f>((S29/(1+AUXILIAR!$BJ$7))-((S29/(1+AUXILIAR!$BJ$7))*AUXILIAR!$BK$7))-(((S29/(1+AUXILIAR!$BJ$7))-((S29/(1+AUXILIAR!$BJ$7))*AUXILIAR!$BK$7))*((AUXILIAR!$BL$7+AUXILIAR!$BM$7)))</f>
        <v>0</v>
      </c>
      <c r="V29" s="103">
        <f>AM29-(AM29/(1+AUXILIAR!$BJ$4))</f>
        <v>0</v>
      </c>
      <c r="W29" s="104">
        <f>(AM29-V29)*AUXILIAR!$BK$4</f>
        <v>0</v>
      </c>
      <c r="X29" s="104">
        <f>(AM29-V29-W29)*(AUXILIAR!$BL$4+AUXILIAR!$BM$4)</f>
        <v>0</v>
      </c>
      <c r="Y29" s="104">
        <f>X29-(X29/(1+AUXILIAR!$BJ$7))</f>
        <v>0</v>
      </c>
      <c r="Z29" s="104">
        <f>(S29-Y29)*AUXILIAR!$BK$7</f>
        <v>0</v>
      </c>
      <c r="AA29" s="104">
        <f>(S29-Y29-Z29)*(AUXILIAR!$BL$7+AUXILIAR!$BM$7)</f>
        <v>0</v>
      </c>
      <c r="AB29" s="105">
        <f t="shared" si="8"/>
        <v>0</v>
      </c>
      <c r="AC29" s="105">
        <f t="shared" si="9"/>
        <v>0</v>
      </c>
      <c r="AD29" s="105">
        <f t="shared" si="10"/>
        <v>0</v>
      </c>
      <c r="AE29" s="105">
        <f t="shared" si="11"/>
        <v>0</v>
      </c>
      <c r="AF29" s="105">
        <f t="shared" si="12"/>
        <v>0</v>
      </c>
      <c r="AG29" s="104">
        <f t="shared" si="13"/>
        <v>0</v>
      </c>
      <c r="AH29" s="102">
        <f t="shared" si="14"/>
        <v>0</v>
      </c>
      <c r="AI29" s="106">
        <f t="shared" si="15"/>
        <v>0</v>
      </c>
      <c r="AJ29" s="102">
        <f t="shared" si="16"/>
        <v>0</v>
      </c>
      <c r="AK29" s="102">
        <f t="shared" si="17"/>
        <v>0</v>
      </c>
      <c r="AL29" s="102">
        <f>AUXILIAR!$BM$12</f>
        <v>1</v>
      </c>
      <c r="AM29" s="102">
        <f>IF($E$2="XADREZ",
     IFERROR(VLOOKUP(G29,AUXILIAR!AB:AC,2,TRUE),0),
     IF(AC26="SIM", 0, IFERROR(VLOOKUP(G29,AUXILIAR!AB:AC,2,TRUE),0))
)</f>
        <v>0</v>
      </c>
      <c r="AN29" s="102">
        <f t="shared" si="18"/>
        <v>0</v>
      </c>
      <c r="AO29" s="102">
        <f t="shared" si="19"/>
        <v>0</v>
      </c>
      <c r="AP29" s="102">
        <f t="shared" si="20"/>
        <v>0</v>
      </c>
      <c r="AQ29" s="102" t="str">
        <f>IFERROR(INDEX(AUXILIAR!$AG$4:$AG$21,MATCH(G29,AUXILIAR!$AH$4:$AH$21,0))*AM29,"-")</f>
        <v>-</v>
      </c>
      <c r="AR29" s="107" t="str">
        <f>IF(R29="GUILHOTINA",IFERROR(VLOOKUP(G29,AUXILIAR!$Q:$S,3,FALSE),""),IF(R29="LASER",IFERROR(VLOOKUP(G29,AUXILIAR!$E:$I,3,FALSE),""),IF(R29="PLASMA",IFERROR(VLOOKUP(G29,AUXILIAR!$K:$O,3,FALSE),""),"")))</f>
        <v/>
      </c>
      <c r="AS29" s="89" t="str">
        <f t="shared" si="21"/>
        <v/>
      </c>
      <c r="AT29" s="89" t="str">
        <f t="shared" si="22"/>
        <v/>
      </c>
      <c r="AU29" s="89" t="str">
        <f t="shared" si="23"/>
        <v/>
      </c>
      <c r="AV29" s="89" t="str">
        <f t="shared" si="24"/>
        <v/>
      </c>
      <c r="AW29" s="89" t="str">
        <f t="shared" si="25"/>
        <v/>
      </c>
      <c r="AY29" s="144">
        <f t="shared" si="1"/>
        <v>0</v>
      </c>
    </row>
    <row r="30" spans="1:51" hidden="1" x14ac:dyDescent="0.35">
      <c r="A30" s="85"/>
      <c r="B30" s="85"/>
      <c r="C30" s="85"/>
      <c r="D30" s="85"/>
      <c r="E30" s="86"/>
      <c r="F30" s="86"/>
      <c r="G30" s="86"/>
      <c r="H30" s="87"/>
      <c r="I30" s="87"/>
      <c r="J30" s="85"/>
      <c r="K30" s="101">
        <v>1200</v>
      </c>
      <c r="L30" s="90" t="str">
        <f t="shared" si="2"/>
        <v/>
      </c>
      <c r="M30" s="91" t="str">
        <f t="shared" si="3"/>
        <v/>
      </c>
      <c r="N30" s="91"/>
      <c r="O30" s="91">
        <f>IF(L30="",0,IFERROR(N30+INDEX(AUXILIAR!$AO$3:$AO$8,MATCH(L30,AUXILIAR!$AP$3:$AP$8,1)),N30))</f>
        <v>0</v>
      </c>
      <c r="P30" s="92">
        <f t="shared" si="5"/>
        <v>0</v>
      </c>
      <c r="Q30" s="92">
        <f t="shared" si="6"/>
        <v>0</v>
      </c>
      <c r="R30" s="92" t="s">
        <v>0</v>
      </c>
      <c r="S30" s="88">
        <f t="shared" si="7"/>
        <v>0</v>
      </c>
      <c r="T30" s="102">
        <f>((AM30/(1+AUXILIAR!$BJ$4))-((AM30/(1+AUXILIAR!$BJ$4))*AUXILIAR!$BK$4))-(((AM30/(1+AUXILIAR!$BJ$4))-((AM30/(1+AUXILIAR!$BJ$4))*AUXILIAR!$BK$4))*((AUXILIAR!$BL$4+AUXILIAR!$BM$4)))</f>
        <v>0</v>
      </c>
      <c r="U30" s="102">
        <f>((S30/(1+AUXILIAR!$BJ$7))-((S30/(1+AUXILIAR!$BJ$7))*AUXILIAR!$BK$7))-(((S30/(1+AUXILIAR!$BJ$7))-((S30/(1+AUXILIAR!$BJ$7))*AUXILIAR!$BK$7))*((AUXILIAR!$BL$7+AUXILIAR!$BM$7)))</f>
        <v>0</v>
      </c>
      <c r="V30" s="103">
        <f>AM30-(AM30/(1+AUXILIAR!$BJ$4))</f>
        <v>0</v>
      </c>
      <c r="W30" s="104">
        <f>(AM30-V30)*AUXILIAR!$BK$4</f>
        <v>0</v>
      </c>
      <c r="X30" s="104">
        <f>(AM30-V30-W30)*(AUXILIAR!$BL$4+AUXILIAR!$BM$4)</f>
        <v>0</v>
      </c>
      <c r="Y30" s="104">
        <f>X30-(X30/(1+AUXILIAR!$BJ$7))</f>
        <v>0</v>
      </c>
      <c r="Z30" s="104">
        <f>(S30-Y30)*AUXILIAR!$BK$7</f>
        <v>0</v>
      </c>
      <c r="AA30" s="104">
        <f>(S30-Y30-Z30)*(AUXILIAR!$BL$7+AUXILIAR!$BM$7)</f>
        <v>0</v>
      </c>
      <c r="AB30" s="105">
        <f t="shared" si="8"/>
        <v>0</v>
      </c>
      <c r="AC30" s="105">
        <f t="shared" si="9"/>
        <v>0</v>
      </c>
      <c r="AD30" s="105">
        <f t="shared" si="10"/>
        <v>0</v>
      </c>
      <c r="AE30" s="105">
        <f t="shared" si="11"/>
        <v>0</v>
      </c>
      <c r="AF30" s="105">
        <f t="shared" si="12"/>
        <v>0</v>
      </c>
      <c r="AG30" s="104">
        <f t="shared" si="13"/>
        <v>0</v>
      </c>
      <c r="AH30" s="102">
        <f t="shared" si="14"/>
        <v>0</v>
      </c>
      <c r="AI30" s="106">
        <f t="shared" si="15"/>
        <v>0</v>
      </c>
      <c r="AJ30" s="102">
        <f t="shared" si="16"/>
        <v>0</v>
      </c>
      <c r="AK30" s="102">
        <f t="shared" si="17"/>
        <v>0</v>
      </c>
      <c r="AL30" s="102">
        <f>AUXILIAR!$BM$12</f>
        <v>1</v>
      </c>
      <c r="AM30" s="102">
        <f>IF($E$2="XADREZ",
     IFERROR(VLOOKUP(G30,AUXILIAR!AB:AC,2,TRUE),0),
     IF(AC27="SIM", 0, IFERROR(VLOOKUP(G30,AUXILIAR!AB:AC,2,TRUE),0))
)</f>
        <v>0</v>
      </c>
      <c r="AN30" s="102">
        <f t="shared" si="18"/>
        <v>0</v>
      </c>
      <c r="AO30" s="102">
        <f t="shared" si="19"/>
        <v>0</v>
      </c>
      <c r="AP30" s="102">
        <f t="shared" si="20"/>
        <v>0</v>
      </c>
      <c r="AQ30" s="102" t="str">
        <f>IFERROR(INDEX(AUXILIAR!$AG$4:$AG$21,MATCH(G30,AUXILIAR!$AH$4:$AH$21,0))*AM30,"-")</f>
        <v>-</v>
      </c>
      <c r="AR30" s="107" t="str">
        <f>IF(R30="GUILHOTINA",IFERROR(VLOOKUP(G30,AUXILIAR!$Q:$S,3,FALSE),""),IF(R30="LASER",IFERROR(VLOOKUP(G30,AUXILIAR!$E:$I,3,FALSE),""),IF(R30="PLASMA",IFERROR(VLOOKUP(G30,AUXILIAR!$K:$O,3,FALSE),""),"")))</f>
        <v/>
      </c>
      <c r="AS30" s="89" t="str">
        <f t="shared" si="21"/>
        <v/>
      </c>
      <c r="AT30" s="89" t="str">
        <f t="shared" si="22"/>
        <v/>
      </c>
      <c r="AU30" s="89" t="str">
        <f t="shared" si="23"/>
        <v/>
      </c>
      <c r="AV30" s="89" t="str">
        <f t="shared" si="24"/>
        <v/>
      </c>
      <c r="AW30" s="89" t="str">
        <f t="shared" si="25"/>
        <v/>
      </c>
      <c r="AY30" s="144">
        <f t="shared" si="1"/>
        <v>0</v>
      </c>
    </row>
    <row r="31" spans="1:51" hidden="1" x14ac:dyDescent="0.35">
      <c r="A31" s="85"/>
      <c r="B31" s="85"/>
      <c r="C31" s="85"/>
      <c r="D31" s="85"/>
      <c r="E31" s="86"/>
      <c r="F31" s="86"/>
      <c r="G31" s="86"/>
      <c r="H31" s="87"/>
      <c r="I31" s="87"/>
      <c r="J31" s="85"/>
      <c r="K31" s="101">
        <v>1200</v>
      </c>
      <c r="L31" s="90" t="str">
        <f t="shared" si="2"/>
        <v/>
      </c>
      <c r="M31" s="91" t="str">
        <f t="shared" si="3"/>
        <v/>
      </c>
      <c r="N31" s="91"/>
      <c r="O31" s="91">
        <f>IF(L31="",0,IFERROR(N31+INDEX(AUXILIAR!$AO$3:$AO$8,MATCH(L31,AUXILIAR!$AP$3:$AP$8,1)),N31))</f>
        <v>0</v>
      </c>
      <c r="P31" s="92">
        <f t="shared" si="5"/>
        <v>0</v>
      </c>
      <c r="Q31" s="92">
        <f t="shared" si="6"/>
        <v>0</v>
      </c>
      <c r="R31" s="92" t="s">
        <v>0</v>
      </c>
      <c r="S31" s="88">
        <f t="shared" si="7"/>
        <v>0</v>
      </c>
      <c r="T31" s="102">
        <f>((AM31/(1+AUXILIAR!$BJ$4))-((AM31/(1+AUXILIAR!$BJ$4))*AUXILIAR!$BK$4))-(((AM31/(1+AUXILIAR!$BJ$4))-((AM31/(1+AUXILIAR!$BJ$4))*AUXILIAR!$BK$4))*((AUXILIAR!$BL$4+AUXILIAR!$BM$4)))</f>
        <v>0</v>
      </c>
      <c r="U31" s="102">
        <f>((S31/(1+AUXILIAR!$BJ$7))-((S31/(1+AUXILIAR!$BJ$7))*AUXILIAR!$BK$7))-(((S31/(1+AUXILIAR!$BJ$7))-((S31/(1+AUXILIAR!$BJ$7))*AUXILIAR!$BK$7))*((AUXILIAR!$BL$7+AUXILIAR!$BM$7)))</f>
        <v>0</v>
      </c>
      <c r="V31" s="103">
        <f>AM31-(AM31/(1+AUXILIAR!$BJ$4))</f>
        <v>0</v>
      </c>
      <c r="W31" s="104">
        <f>(AM31-V31)*AUXILIAR!$BK$4</f>
        <v>0</v>
      </c>
      <c r="X31" s="104">
        <f>(AM31-V31-W31)*(AUXILIAR!$BL$4+AUXILIAR!$BM$4)</f>
        <v>0</v>
      </c>
      <c r="Y31" s="104">
        <f>X31-(X31/(1+AUXILIAR!$BJ$7))</f>
        <v>0</v>
      </c>
      <c r="Z31" s="104">
        <f>(S31-Y31)*AUXILIAR!$BK$7</f>
        <v>0</v>
      </c>
      <c r="AA31" s="104">
        <f>(S31-Y31-Z31)*(AUXILIAR!$BL$7+AUXILIAR!$BM$7)</f>
        <v>0</v>
      </c>
      <c r="AB31" s="105">
        <f t="shared" si="8"/>
        <v>0</v>
      </c>
      <c r="AC31" s="105">
        <f t="shared" si="9"/>
        <v>0</v>
      </c>
      <c r="AD31" s="105">
        <f t="shared" si="10"/>
        <v>0</v>
      </c>
      <c r="AE31" s="105">
        <f t="shared" si="11"/>
        <v>0</v>
      </c>
      <c r="AF31" s="105">
        <f t="shared" si="12"/>
        <v>0</v>
      </c>
      <c r="AG31" s="104">
        <f t="shared" si="13"/>
        <v>0</v>
      </c>
      <c r="AH31" s="102">
        <f t="shared" si="14"/>
        <v>0</v>
      </c>
      <c r="AI31" s="106">
        <f t="shared" si="15"/>
        <v>0</v>
      </c>
      <c r="AJ31" s="102">
        <f t="shared" si="16"/>
        <v>0</v>
      </c>
      <c r="AK31" s="102">
        <f t="shared" si="17"/>
        <v>0</v>
      </c>
      <c r="AL31" s="102">
        <f>AUXILIAR!$BM$12</f>
        <v>1</v>
      </c>
      <c r="AM31" s="102">
        <f>IF($E$2="XADREZ",
     IFERROR(VLOOKUP(G31,AUXILIAR!AB:AC,2,TRUE),0),
     IF(AC28="SIM", 0, IFERROR(VLOOKUP(G31,AUXILIAR!AB:AC,2,TRUE),0))
)</f>
        <v>0</v>
      </c>
      <c r="AN31" s="102">
        <f t="shared" si="18"/>
        <v>0</v>
      </c>
      <c r="AO31" s="102">
        <f t="shared" si="19"/>
        <v>0</v>
      </c>
      <c r="AP31" s="102">
        <f t="shared" si="20"/>
        <v>0</v>
      </c>
      <c r="AQ31" s="102" t="str">
        <f>IFERROR(INDEX(AUXILIAR!$AG$4:$AG$21,MATCH(G31,AUXILIAR!$AH$4:$AH$21,0))*AM31,"-")</f>
        <v>-</v>
      </c>
      <c r="AR31" s="107" t="str">
        <f>IF(R31="GUILHOTINA",IFERROR(VLOOKUP(G31,AUXILIAR!$Q:$S,3,FALSE),""),IF(R31="LASER",IFERROR(VLOOKUP(G31,AUXILIAR!$E:$I,3,FALSE),""),IF(R31="PLASMA",IFERROR(VLOOKUP(G31,AUXILIAR!$K:$O,3,FALSE),""),"")))</f>
        <v/>
      </c>
      <c r="AS31" s="89" t="str">
        <f t="shared" si="21"/>
        <v/>
      </c>
      <c r="AT31" s="89" t="str">
        <f t="shared" si="22"/>
        <v/>
      </c>
      <c r="AU31" s="89" t="str">
        <f t="shared" si="23"/>
        <v/>
      </c>
      <c r="AV31" s="89" t="str">
        <f t="shared" si="24"/>
        <v/>
      </c>
      <c r="AW31" s="89" t="str">
        <f t="shared" si="25"/>
        <v/>
      </c>
      <c r="AY31" s="144">
        <f t="shared" si="1"/>
        <v>0</v>
      </c>
    </row>
    <row r="32" spans="1:51" hidden="1" x14ac:dyDescent="0.35">
      <c r="A32" s="85"/>
      <c r="B32" s="85"/>
      <c r="C32" s="85"/>
      <c r="D32" s="85"/>
      <c r="E32" s="86"/>
      <c r="F32" s="86"/>
      <c r="G32" s="86"/>
      <c r="H32" s="87"/>
      <c r="I32" s="87"/>
      <c r="J32" s="85"/>
      <c r="K32" s="101">
        <v>1200</v>
      </c>
      <c r="L32" s="90" t="str">
        <f t="shared" si="2"/>
        <v/>
      </c>
      <c r="M32" s="91" t="str">
        <f t="shared" si="3"/>
        <v/>
      </c>
      <c r="N32" s="91"/>
      <c r="O32" s="91">
        <f>IF(L32="",0,IFERROR(N32+INDEX(AUXILIAR!$AO$3:$AO$8,MATCH(L32,AUXILIAR!$AP$3:$AP$8,1)),N32))</f>
        <v>0</v>
      </c>
      <c r="P32" s="92">
        <f t="shared" si="5"/>
        <v>0</v>
      </c>
      <c r="Q32" s="92">
        <f t="shared" si="6"/>
        <v>0</v>
      </c>
      <c r="R32" s="92" t="s">
        <v>0</v>
      </c>
      <c r="S32" s="88">
        <f t="shared" si="7"/>
        <v>0</v>
      </c>
      <c r="T32" s="102">
        <f>((AM32/(1+AUXILIAR!$BJ$4))-((AM32/(1+AUXILIAR!$BJ$4))*AUXILIAR!$BK$4))-(((AM32/(1+AUXILIAR!$BJ$4))-((AM32/(1+AUXILIAR!$BJ$4))*AUXILIAR!$BK$4))*((AUXILIAR!$BL$4+AUXILIAR!$BM$4)))</f>
        <v>0</v>
      </c>
      <c r="U32" s="102">
        <f>((S32/(1+AUXILIAR!$BJ$7))-((S32/(1+AUXILIAR!$BJ$7))*AUXILIAR!$BK$7))-(((S32/(1+AUXILIAR!$BJ$7))-((S32/(1+AUXILIAR!$BJ$7))*AUXILIAR!$BK$7))*((AUXILIAR!$BL$7+AUXILIAR!$BM$7)))</f>
        <v>0</v>
      </c>
      <c r="V32" s="103">
        <f>AM32-(AM32/(1+AUXILIAR!$BJ$4))</f>
        <v>0</v>
      </c>
      <c r="W32" s="104">
        <f>(AM32-V32)*AUXILIAR!$BK$4</f>
        <v>0</v>
      </c>
      <c r="X32" s="104">
        <f>(AM32-V32-W32)*(AUXILIAR!$BL$4+AUXILIAR!$BM$4)</f>
        <v>0</v>
      </c>
      <c r="Y32" s="104">
        <f>X32-(X32/(1+AUXILIAR!$BJ$7))</f>
        <v>0</v>
      </c>
      <c r="Z32" s="104">
        <f>(S32-Y32)*AUXILIAR!$BK$7</f>
        <v>0</v>
      </c>
      <c r="AA32" s="104">
        <f>(S32-Y32-Z32)*(AUXILIAR!$BL$7+AUXILIAR!$BM$7)</f>
        <v>0</v>
      </c>
      <c r="AB32" s="105">
        <f t="shared" si="8"/>
        <v>0</v>
      </c>
      <c r="AC32" s="105">
        <f t="shared" si="9"/>
        <v>0</v>
      </c>
      <c r="AD32" s="105">
        <f t="shared" si="10"/>
        <v>0</v>
      </c>
      <c r="AE32" s="105">
        <f t="shared" si="11"/>
        <v>0</v>
      </c>
      <c r="AF32" s="105">
        <f t="shared" si="12"/>
        <v>0</v>
      </c>
      <c r="AG32" s="104">
        <f t="shared" si="13"/>
        <v>0</v>
      </c>
      <c r="AH32" s="102">
        <f t="shared" si="14"/>
        <v>0</v>
      </c>
      <c r="AI32" s="106">
        <f t="shared" si="15"/>
        <v>0</v>
      </c>
      <c r="AJ32" s="102">
        <f t="shared" si="16"/>
        <v>0</v>
      </c>
      <c r="AK32" s="102">
        <f t="shared" si="17"/>
        <v>0</v>
      </c>
      <c r="AL32" s="102">
        <f>AUXILIAR!$BM$12</f>
        <v>1</v>
      </c>
      <c r="AM32" s="102">
        <f>IF($E$2="XADREZ",
     IFERROR(VLOOKUP(G32,AUXILIAR!AB:AC,2,TRUE),0),
     IF(AC29="SIM", 0, IFERROR(VLOOKUP(G32,AUXILIAR!AB:AC,2,TRUE),0))
)</f>
        <v>0</v>
      </c>
      <c r="AN32" s="102">
        <f t="shared" si="18"/>
        <v>0</v>
      </c>
      <c r="AO32" s="102">
        <f t="shared" si="19"/>
        <v>0</v>
      </c>
      <c r="AP32" s="102">
        <f t="shared" si="20"/>
        <v>0</v>
      </c>
      <c r="AQ32" s="102" t="str">
        <f>IFERROR(INDEX(AUXILIAR!$AG$4:$AG$21,MATCH(G32,AUXILIAR!$AH$4:$AH$21,0))*AM32,"-")</f>
        <v>-</v>
      </c>
      <c r="AR32" s="107" t="str">
        <f>IF(R32="GUILHOTINA",IFERROR(VLOOKUP(G32,AUXILIAR!$Q:$S,3,FALSE),""),IF(R32="LASER",IFERROR(VLOOKUP(G32,AUXILIAR!$E:$I,3,FALSE),""),IF(R32="PLASMA",IFERROR(VLOOKUP(G32,AUXILIAR!$K:$O,3,FALSE),""),"")))</f>
        <v/>
      </c>
      <c r="AS32" s="89" t="str">
        <f t="shared" si="21"/>
        <v/>
      </c>
      <c r="AT32" s="89" t="str">
        <f t="shared" si="22"/>
        <v/>
      </c>
      <c r="AU32" s="89" t="str">
        <f t="shared" si="23"/>
        <v/>
      </c>
      <c r="AV32" s="89" t="str">
        <f t="shared" si="24"/>
        <v/>
      </c>
      <c r="AW32" s="89" t="str">
        <f t="shared" si="25"/>
        <v/>
      </c>
      <c r="AY32" s="144">
        <f t="shared" si="1"/>
        <v>0</v>
      </c>
    </row>
    <row r="33" spans="1:51" hidden="1" x14ac:dyDescent="0.35">
      <c r="A33" s="85"/>
      <c r="B33" s="85"/>
      <c r="C33" s="85"/>
      <c r="D33" s="85"/>
      <c r="E33" s="86"/>
      <c r="F33" s="86"/>
      <c r="G33" s="86"/>
      <c r="H33" s="87"/>
      <c r="I33" s="87"/>
      <c r="J33" s="85"/>
      <c r="K33" s="101">
        <v>1200</v>
      </c>
      <c r="L33" s="90" t="str">
        <f t="shared" si="2"/>
        <v/>
      </c>
      <c r="M33" s="91" t="str">
        <f t="shared" si="3"/>
        <v/>
      </c>
      <c r="N33" s="91"/>
      <c r="O33" s="91">
        <f>IF(L33="",0,IFERROR(N33+INDEX(AUXILIAR!$AO$3:$AO$8,MATCH(L33,AUXILIAR!$AP$3:$AP$8,1)),N33))</f>
        <v>0</v>
      </c>
      <c r="P33" s="92">
        <f t="shared" si="5"/>
        <v>0</v>
      </c>
      <c r="Q33" s="92">
        <f t="shared" si="6"/>
        <v>0</v>
      </c>
      <c r="R33" s="92" t="s">
        <v>0</v>
      </c>
      <c r="S33" s="88">
        <f t="shared" si="7"/>
        <v>0</v>
      </c>
      <c r="T33" s="102">
        <f>((AM33/(1+AUXILIAR!$BJ$4))-((AM33/(1+AUXILIAR!$BJ$4))*AUXILIAR!$BK$4))-(((AM33/(1+AUXILIAR!$BJ$4))-((AM33/(1+AUXILIAR!$BJ$4))*AUXILIAR!$BK$4))*((AUXILIAR!$BL$4+AUXILIAR!$BM$4)))</f>
        <v>0</v>
      </c>
      <c r="U33" s="102">
        <f>((S33/(1+AUXILIAR!$BJ$7))-((S33/(1+AUXILIAR!$BJ$7))*AUXILIAR!$BK$7))-(((S33/(1+AUXILIAR!$BJ$7))-((S33/(1+AUXILIAR!$BJ$7))*AUXILIAR!$BK$7))*((AUXILIAR!$BL$7+AUXILIAR!$BM$7)))</f>
        <v>0</v>
      </c>
      <c r="V33" s="103">
        <f>AM33-(AM33/(1+AUXILIAR!$BJ$4))</f>
        <v>0</v>
      </c>
      <c r="W33" s="104">
        <f>(AM33-V33)*AUXILIAR!$BK$4</f>
        <v>0</v>
      </c>
      <c r="X33" s="104">
        <f>(AM33-V33-W33)*(AUXILIAR!$BL$4+AUXILIAR!$BM$4)</f>
        <v>0</v>
      </c>
      <c r="Y33" s="104">
        <f>X33-(X33/(1+AUXILIAR!$BJ$7))</f>
        <v>0</v>
      </c>
      <c r="Z33" s="104">
        <f>(S33-Y33)*AUXILIAR!$BK$7</f>
        <v>0</v>
      </c>
      <c r="AA33" s="104">
        <f>(S33-Y33-Z33)*(AUXILIAR!$BL$7+AUXILIAR!$BM$7)</f>
        <v>0</v>
      </c>
      <c r="AB33" s="105">
        <f t="shared" si="8"/>
        <v>0</v>
      </c>
      <c r="AC33" s="105">
        <f t="shared" si="9"/>
        <v>0</v>
      </c>
      <c r="AD33" s="105">
        <f t="shared" si="10"/>
        <v>0</v>
      </c>
      <c r="AE33" s="105">
        <f t="shared" si="11"/>
        <v>0</v>
      </c>
      <c r="AF33" s="105">
        <f t="shared" si="12"/>
        <v>0</v>
      </c>
      <c r="AG33" s="104">
        <f t="shared" si="13"/>
        <v>0</v>
      </c>
      <c r="AH33" s="102">
        <f t="shared" si="14"/>
        <v>0</v>
      </c>
      <c r="AI33" s="106">
        <f t="shared" si="15"/>
        <v>0</v>
      </c>
      <c r="AJ33" s="102">
        <f t="shared" si="16"/>
        <v>0</v>
      </c>
      <c r="AK33" s="102">
        <f t="shared" si="17"/>
        <v>0</v>
      </c>
      <c r="AL33" s="102">
        <f>AUXILIAR!$BM$12</f>
        <v>1</v>
      </c>
      <c r="AM33" s="102">
        <f>IF($E$2="XADREZ",
     IFERROR(VLOOKUP(G33,AUXILIAR!AB:AC,2,TRUE),0),
     IF(AC30="SIM", 0, IFERROR(VLOOKUP(G33,AUXILIAR!AB:AC,2,TRUE),0))
)</f>
        <v>0</v>
      </c>
      <c r="AN33" s="102">
        <f t="shared" si="18"/>
        <v>0</v>
      </c>
      <c r="AO33" s="102">
        <f t="shared" si="19"/>
        <v>0</v>
      </c>
      <c r="AP33" s="102">
        <f t="shared" si="20"/>
        <v>0</v>
      </c>
      <c r="AQ33" s="102" t="str">
        <f>IFERROR(INDEX(AUXILIAR!$AG$4:$AG$21,MATCH(G33,AUXILIAR!$AH$4:$AH$21,0))*AM33,"-")</f>
        <v>-</v>
      </c>
      <c r="AR33" s="107" t="str">
        <f>IF(R33="GUILHOTINA",IFERROR(VLOOKUP(G33,AUXILIAR!$Q:$S,3,FALSE),""),IF(R33="LASER",IFERROR(VLOOKUP(G33,AUXILIAR!$E:$I,3,FALSE),""),IF(R33="PLASMA",IFERROR(VLOOKUP(G33,AUXILIAR!$K:$O,3,FALSE),""),"")))</f>
        <v/>
      </c>
      <c r="AS33" s="89" t="str">
        <f t="shared" si="21"/>
        <v/>
      </c>
      <c r="AT33" s="89" t="str">
        <f t="shared" si="22"/>
        <v/>
      </c>
      <c r="AU33" s="89" t="str">
        <f t="shared" si="23"/>
        <v/>
      </c>
      <c r="AV33" s="89" t="str">
        <f t="shared" si="24"/>
        <v/>
      </c>
      <c r="AW33" s="89" t="str">
        <f t="shared" si="25"/>
        <v/>
      </c>
      <c r="AY33" s="144">
        <f t="shared" si="1"/>
        <v>0</v>
      </c>
    </row>
    <row r="34" spans="1:51" hidden="1" x14ac:dyDescent="0.35">
      <c r="A34" s="85"/>
      <c r="B34" s="85"/>
      <c r="C34" s="85"/>
      <c r="D34" s="85"/>
      <c r="E34" s="86"/>
      <c r="F34" s="86"/>
      <c r="G34" s="86"/>
      <c r="H34" s="87"/>
      <c r="I34" s="87"/>
      <c r="J34" s="85"/>
      <c r="K34" s="101">
        <v>1200</v>
      </c>
      <c r="L34" s="90" t="str">
        <f t="shared" si="2"/>
        <v/>
      </c>
      <c r="M34" s="91" t="str">
        <f t="shared" si="3"/>
        <v/>
      </c>
      <c r="N34" s="91"/>
      <c r="O34" s="91">
        <f>IF(L34="",0,IFERROR(N34+INDEX(AUXILIAR!$AO$3:$AO$8,MATCH(L34,AUXILIAR!$AP$3:$AP$8,1)),N34))</f>
        <v>0</v>
      </c>
      <c r="P34" s="92">
        <f t="shared" si="5"/>
        <v>0</v>
      </c>
      <c r="Q34" s="92">
        <f t="shared" si="6"/>
        <v>0</v>
      </c>
      <c r="R34" s="92" t="s">
        <v>0</v>
      </c>
      <c r="S34" s="88">
        <f t="shared" si="7"/>
        <v>0</v>
      </c>
      <c r="T34" s="102">
        <f>((AM34/(1+AUXILIAR!$BJ$4))-((AM34/(1+AUXILIAR!$BJ$4))*AUXILIAR!$BK$4))-(((AM34/(1+AUXILIAR!$BJ$4))-((AM34/(1+AUXILIAR!$BJ$4))*AUXILIAR!$BK$4))*((AUXILIAR!$BL$4+AUXILIAR!$BM$4)))</f>
        <v>0</v>
      </c>
      <c r="U34" s="102">
        <f>((S34/(1+AUXILIAR!$BJ$7))-((S34/(1+AUXILIAR!$BJ$7))*AUXILIAR!$BK$7))-(((S34/(1+AUXILIAR!$BJ$7))-((S34/(1+AUXILIAR!$BJ$7))*AUXILIAR!$BK$7))*((AUXILIAR!$BL$7+AUXILIAR!$BM$7)))</f>
        <v>0</v>
      </c>
      <c r="V34" s="103">
        <f>AM34-(AM34/(1+AUXILIAR!$BJ$4))</f>
        <v>0</v>
      </c>
      <c r="W34" s="104">
        <f>(AM34-V34)*AUXILIAR!$BK$4</f>
        <v>0</v>
      </c>
      <c r="X34" s="104">
        <f>(AM34-V34-W34)*(AUXILIAR!$BL$4+AUXILIAR!$BM$4)</f>
        <v>0</v>
      </c>
      <c r="Y34" s="104">
        <f>X34-(X34/(1+AUXILIAR!$BJ$7))</f>
        <v>0</v>
      </c>
      <c r="Z34" s="104">
        <f>(S34-Y34)*AUXILIAR!$BK$7</f>
        <v>0</v>
      </c>
      <c r="AA34" s="104">
        <f>(S34-Y34-Z34)*(AUXILIAR!$BL$7+AUXILIAR!$BM$7)</f>
        <v>0</v>
      </c>
      <c r="AB34" s="105">
        <f t="shared" si="8"/>
        <v>0</v>
      </c>
      <c r="AC34" s="105">
        <f t="shared" si="9"/>
        <v>0</v>
      </c>
      <c r="AD34" s="105">
        <f t="shared" si="10"/>
        <v>0</v>
      </c>
      <c r="AE34" s="105">
        <f t="shared" si="11"/>
        <v>0</v>
      </c>
      <c r="AF34" s="105">
        <f t="shared" si="12"/>
        <v>0</v>
      </c>
      <c r="AG34" s="104">
        <f t="shared" si="13"/>
        <v>0</v>
      </c>
      <c r="AH34" s="102">
        <f t="shared" si="14"/>
        <v>0</v>
      </c>
      <c r="AI34" s="106">
        <f t="shared" si="15"/>
        <v>0</v>
      </c>
      <c r="AJ34" s="102">
        <f t="shared" si="16"/>
        <v>0</v>
      </c>
      <c r="AK34" s="102">
        <f t="shared" si="17"/>
        <v>0</v>
      </c>
      <c r="AL34" s="102">
        <f>AUXILIAR!$BM$12</f>
        <v>1</v>
      </c>
      <c r="AM34" s="102">
        <f>IF($E$2="XADREZ",
     IFERROR(VLOOKUP(G34,AUXILIAR!AB:AC,2,TRUE),0),
     IF(AC31="SIM", 0, IFERROR(VLOOKUP(G34,AUXILIAR!AB:AC,2,TRUE),0))
)</f>
        <v>0</v>
      </c>
      <c r="AN34" s="102">
        <f t="shared" si="18"/>
        <v>0</v>
      </c>
      <c r="AO34" s="102">
        <f t="shared" si="19"/>
        <v>0</v>
      </c>
      <c r="AP34" s="102">
        <f t="shared" si="20"/>
        <v>0</v>
      </c>
      <c r="AQ34" s="102" t="str">
        <f>IFERROR(INDEX(AUXILIAR!$AG$4:$AG$21,MATCH(G34,AUXILIAR!$AH$4:$AH$21,0))*AM34,"-")</f>
        <v>-</v>
      </c>
      <c r="AR34" s="107" t="str">
        <f>IF(R34="GUILHOTINA",IFERROR(VLOOKUP(G34,AUXILIAR!$Q:$S,3,FALSE),""),IF(R34="LASER",IFERROR(VLOOKUP(G34,AUXILIAR!$E:$I,3,FALSE),""),IF(R34="PLASMA",IFERROR(VLOOKUP(G34,AUXILIAR!$K:$O,3,FALSE),""),"")))</f>
        <v/>
      </c>
      <c r="AS34" s="89" t="str">
        <f t="shared" si="21"/>
        <v/>
      </c>
      <c r="AT34" s="89" t="str">
        <f t="shared" si="22"/>
        <v/>
      </c>
      <c r="AU34" s="89" t="str">
        <f t="shared" si="23"/>
        <v/>
      </c>
      <c r="AV34" s="89" t="str">
        <f t="shared" si="24"/>
        <v/>
      </c>
      <c r="AW34" s="89" t="str">
        <f t="shared" si="25"/>
        <v/>
      </c>
      <c r="AY34" s="144">
        <f t="shared" si="1"/>
        <v>0</v>
      </c>
    </row>
    <row r="35" spans="1:51" hidden="1" x14ac:dyDescent="0.35">
      <c r="A35" s="85"/>
      <c r="B35" s="85"/>
      <c r="C35" s="85"/>
      <c r="D35" s="85"/>
      <c r="E35" s="86"/>
      <c r="F35" s="86"/>
      <c r="G35" s="86"/>
      <c r="H35" s="87"/>
      <c r="I35" s="87"/>
      <c r="J35" s="85"/>
      <c r="K35" s="101">
        <v>1200</v>
      </c>
      <c r="L35" s="90" t="str">
        <f t="shared" si="2"/>
        <v/>
      </c>
      <c r="M35" s="91" t="str">
        <f t="shared" si="3"/>
        <v/>
      </c>
      <c r="N35" s="91"/>
      <c r="O35" s="91">
        <f>IF(L35="",0,IFERROR(N35+INDEX(AUXILIAR!$AO$3:$AO$8,MATCH(L35,AUXILIAR!$AP$3:$AP$8,1)),N35))</f>
        <v>0</v>
      </c>
      <c r="P35" s="92">
        <f t="shared" si="5"/>
        <v>0</v>
      </c>
      <c r="Q35" s="92">
        <f t="shared" si="6"/>
        <v>0</v>
      </c>
      <c r="R35" s="92" t="s">
        <v>0</v>
      </c>
      <c r="S35" s="88">
        <f t="shared" si="7"/>
        <v>0</v>
      </c>
      <c r="T35" s="102">
        <f>((AM35/(1+AUXILIAR!$BJ$4))-((AM35/(1+AUXILIAR!$BJ$4))*AUXILIAR!$BK$4))-(((AM35/(1+AUXILIAR!$BJ$4))-((AM35/(1+AUXILIAR!$BJ$4))*AUXILIAR!$BK$4))*((AUXILIAR!$BL$4+AUXILIAR!$BM$4)))</f>
        <v>0</v>
      </c>
      <c r="U35" s="102">
        <f>((S35/(1+AUXILIAR!$BJ$7))-((S35/(1+AUXILIAR!$BJ$7))*AUXILIAR!$BK$7))-(((S35/(1+AUXILIAR!$BJ$7))-((S35/(1+AUXILIAR!$BJ$7))*AUXILIAR!$BK$7))*((AUXILIAR!$BL$7+AUXILIAR!$BM$7)))</f>
        <v>0</v>
      </c>
      <c r="V35" s="103">
        <f>AM35-(AM35/(1+AUXILIAR!$BJ$4))</f>
        <v>0</v>
      </c>
      <c r="W35" s="104">
        <f>(AM35-V35)*AUXILIAR!$BK$4</f>
        <v>0</v>
      </c>
      <c r="X35" s="104">
        <f>(AM35-V35-W35)*(AUXILIAR!$BL$4+AUXILIAR!$BM$4)</f>
        <v>0</v>
      </c>
      <c r="Y35" s="104">
        <f>X35-(X35/(1+AUXILIAR!$BJ$7))</f>
        <v>0</v>
      </c>
      <c r="Z35" s="104">
        <f>(S35-Y35)*AUXILIAR!$BK$7</f>
        <v>0</v>
      </c>
      <c r="AA35" s="104">
        <f>(S35-Y35-Z35)*(AUXILIAR!$BL$7+AUXILIAR!$BM$7)</f>
        <v>0</v>
      </c>
      <c r="AB35" s="105">
        <f t="shared" si="8"/>
        <v>0</v>
      </c>
      <c r="AC35" s="105">
        <f t="shared" si="9"/>
        <v>0</v>
      </c>
      <c r="AD35" s="105">
        <f t="shared" si="10"/>
        <v>0</v>
      </c>
      <c r="AE35" s="105">
        <f t="shared" si="11"/>
        <v>0</v>
      </c>
      <c r="AF35" s="105">
        <f t="shared" si="12"/>
        <v>0</v>
      </c>
      <c r="AG35" s="104">
        <f t="shared" si="13"/>
        <v>0</v>
      </c>
      <c r="AH35" s="102">
        <f t="shared" si="14"/>
        <v>0</v>
      </c>
      <c r="AI35" s="106">
        <f t="shared" si="15"/>
        <v>0</v>
      </c>
      <c r="AJ35" s="102">
        <f t="shared" si="16"/>
        <v>0</v>
      </c>
      <c r="AK35" s="102">
        <f t="shared" si="17"/>
        <v>0</v>
      </c>
      <c r="AL35" s="102">
        <f>AUXILIAR!$BM$12</f>
        <v>1</v>
      </c>
      <c r="AM35" s="102">
        <f>IF($E$2="XADREZ",
     IFERROR(VLOOKUP(G35,AUXILIAR!AB:AC,2,TRUE),0),
     IF(AC32="SIM", 0, IFERROR(VLOOKUP(G35,AUXILIAR!AB:AC,2,TRUE),0))
)</f>
        <v>0</v>
      </c>
      <c r="AN35" s="102">
        <f t="shared" si="18"/>
        <v>0</v>
      </c>
      <c r="AO35" s="102">
        <f t="shared" si="19"/>
        <v>0</v>
      </c>
      <c r="AP35" s="102">
        <f t="shared" si="20"/>
        <v>0</v>
      </c>
      <c r="AQ35" s="102" t="str">
        <f>IFERROR(INDEX(AUXILIAR!$AG$4:$AG$21,MATCH(G35,AUXILIAR!$AH$4:$AH$21,0))*AM35,"-")</f>
        <v>-</v>
      </c>
      <c r="AR35" s="107" t="str">
        <f>IF(R35="GUILHOTINA",IFERROR(VLOOKUP(G35,AUXILIAR!$Q:$S,3,FALSE),""),IF(R35="LASER",IFERROR(VLOOKUP(G35,AUXILIAR!$E:$I,3,FALSE),""),IF(R35="PLASMA",IFERROR(VLOOKUP(G35,AUXILIAR!$K:$O,3,FALSE),""),"")))</f>
        <v/>
      </c>
      <c r="AS35" s="89" t="str">
        <f t="shared" si="21"/>
        <v/>
      </c>
      <c r="AT35" s="89" t="str">
        <f t="shared" si="22"/>
        <v/>
      </c>
      <c r="AU35" s="89" t="str">
        <f t="shared" si="23"/>
        <v/>
      </c>
      <c r="AV35" s="89" t="str">
        <f t="shared" si="24"/>
        <v/>
      </c>
      <c r="AW35" s="89" t="str">
        <f t="shared" si="25"/>
        <v/>
      </c>
      <c r="AY35" s="144">
        <f t="shared" si="1"/>
        <v>0</v>
      </c>
    </row>
    <row r="36" spans="1:51" hidden="1" x14ac:dyDescent="0.35">
      <c r="A36" s="85"/>
      <c r="B36" s="85"/>
      <c r="C36" s="85"/>
      <c r="D36" s="85"/>
      <c r="E36" s="86"/>
      <c r="F36" s="86"/>
      <c r="G36" s="86"/>
      <c r="H36" s="87"/>
      <c r="I36" s="87"/>
      <c r="J36" s="85"/>
      <c r="K36" s="101">
        <v>1200</v>
      </c>
      <c r="L36" s="90" t="str">
        <f t="shared" si="2"/>
        <v/>
      </c>
      <c r="M36" s="91" t="str">
        <f t="shared" si="3"/>
        <v/>
      </c>
      <c r="N36" s="91"/>
      <c r="O36" s="91">
        <f>IF(L36="",0,IFERROR(N36+INDEX(AUXILIAR!$AO$3:$AO$8,MATCH(L36,AUXILIAR!$AP$3:$AP$8,1)),N36))</f>
        <v>0</v>
      </c>
      <c r="P36" s="92">
        <f t="shared" si="5"/>
        <v>0</v>
      </c>
      <c r="Q36" s="92">
        <f t="shared" si="6"/>
        <v>0</v>
      </c>
      <c r="R36" s="92" t="s">
        <v>0</v>
      </c>
      <c r="S36" s="88">
        <f t="shared" si="7"/>
        <v>0</v>
      </c>
      <c r="T36" s="102">
        <f>((AM36/(1+AUXILIAR!$BJ$4))-((AM36/(1+AUXILIAR!$BJ$4))*AUXILIAR!$BK$4))-(((AM36/(1+AUXILIAR!$BJ$4))-((AM36/(1+AUXILIAR!$BJ$4))*AUXILIAR!$BK$4))*((AUXILIAR!$BL$4+AUXILIAR!$BM$4)))</f>
        <v>0</v>
      </c>
      <c r="U36" s="102">
        <f>((S36/(1+AUXILIAR!$BJ$7))-((S36/(1+AUXILIAR!$BJ$7))*AUXILIAR!$BK$7))-(((S36/(1+AUXILIAR!$BJ$7))-((S36/(1+AUXILIAR!$BJ$7))*AUXILIAR!$BK$7))*((AUXILIAR!$BL$7+AUXILIAR!$BM$7)))</f>
        <v>0</v>
      </c>
      <c r="V36" s="103">
        <f>AM36-(AM36/(1+AUXILIAR!$BJ$4))</f>
        <v>0</v>
      </c>
      <c r="W36" s="104">
        <f>(AM36-V36)*AUXILIAR!$BK$4</f>
        <v>0</v>
      </c>
      <c r="X36" s="104">
        <f>(AM36-V36-W36)*(AUXILIAR!$BL$4+AUXILIAR!$BM$4)</f>
        <v>0</v>
      </c>
      <c r="Y36" s="104">
        <f>X36-(X36/(1+AUXILIAR!$BJ$7))</f>
        <v>0</v>
      </c>
      <c r="Z36" s="104">
        <f>(S36-Y36)*AUXILIAR!$BK$7</f>
        <v>0</v>
      </c>
      <c r="AA36" s="104">
        <f>(S36-Y36-Z36)*(AUXILIAR!$BL$7+AUXILIAR!$BM$7)</f>
        <v>0</v>
      </c>
      <c r="AB36" s="105">
        <f t="shared" si="8"/>
        <v>0</v>
      </c>
      <c r="AC36" s="105">
        <f t="shared" si="9"/>
        <v>0</v>
      </c>
      <c r="AD36" s="105">
        <f t="shared" si="10"/>
        <v>0</v>
      </c>
      <c r="AE36" s="105">
        <f t="shared" si="11"/>
        <v>0</v>
      </c>
      <c r="AF36" s="105">
        <f t="shared" si="12"/>
        <v>0</v>
      </c>
      <c r="AG36" s="104">
        <f t="shared" si="13"/>
        <v>0</v>
      </c>
      <c r="AH36" s="102">
        <f t="shared" si="14"/>
        <v>0</v>
      </c>
      <c r="AI36" s="106">
        <f t="shared" si="15"/>
        <v>0</v>
      </c>
      <c r="AJ36" s="102">
        <f t="shared" si="16"/>
        <v>0</v>
      </c>
      <c r="AK36" s="102">
        <f t="shared" si="17"/>
        <v>0</v>
      </c>
      <c r="AL36" s="102">
        <f>AUXILIAR!$BM$12</f>
        <v>1</v>
      </c>
      <c r="AM36" s="102">
        <f>IF($E$2="XADREZ",
     IFERROR(VLOOKUP(G36,AUXILIAR!AB:AC,2,TRUE),0),
     IF(AC33="SIM", 0, IFERROR(VLOOKUP(G36,AUXILIAR!AB:AC,2,TRUE),0))
)</f>
        <v>0</v>
      </c>
      <c r="AN36" s="102">
        <f t="shared" si="18"/>
        <v>0</v>
      </c>
      <c r="AO36" s="102">
        <f t="shared" si="19"/>
        <v>0</v>
      </c>
      <c r="AP36" s="102">
        <f t="shared" si="20"/>
        <v>0</v>
      </c>
      <c r="AQ36" s="102" t="str">
        <f>IFERROR(INDEX(AUXILIAR!$AG$4:$AG$21,MATCH(G36,AUXILIAR!$AH$4:$AH$21,0))*AM36,"-")</f>
        <v>-</v>
      </c>
      <c r="AR36" s="107" t="str">
        <f>IF(R36="GUILHOTINA",IFERROR(VLOOKUP(G36,AUXILIAR!$Q:$S,3,FALSE),""),IF(R36="LASER",IFERROR(VLOOKUP(G36,AUXILIAR!$E:$I,3,FALSE),""),IF(R36="PLASMA",IFERROR(VLOOKUP(G36,AUXILIAR!$K:$O,3,FALSE),""),"")))</f>
        <v/>
      </c>
      <c r="AS36" s="89" t="str">
        <f t="shared" si="21"/>
        <v/>
      </c>
      <c r="AT36" s="89" t="str">
        <f t="shared" si="22"/>
        <v/>
      </c>
      <c r="AU36" s="89" t="str">
        <f t="shared" si="23"/>
        <v/>
      </c>
      <c r="AV36" s="89" t="str">
        <f t="shared" si="24"/>
        <v/>
      </c>
      <c r="AW36" s="89" t="str">
        <f t="shared" si="25"/>
        <v/>
      </c>
      <c r="AY36" s="144">
        <f t="shared" si="1"/>
        <v>0</v>
      </c>
    </row>
    <row r="37" spans="1:51" hidden="1" x14ac:dyDescent="0.35">
      <c r="A37" s="85"/>
      <c r="B37" s="85"/>
      <c r="C37" s="85"/>
      <c r="D37" s="85"/>
      <c r="E37" s="86"/>
      <c r="F37" s="86"/>
      <c r="G37" s="86"/>
      <c r="H37" s="87"/>
      <c r="I37" s="87"/>
      <c r="J37" s="85"/>
      <c r="K37" s="101">
        <v>1200</v>
      </c>
      <c r="L37" s="90" t="str">
        <f t="shared" si="2"/>
        <v/>
      </c>
      <c r="M37" s="91" t="str">
        <f t="shared" si="3"/>
        <v/>
      </c>
      <c r="N37" s="91"/>
      <c r="O37" s="91">
        <f>IF(L37="",0,IFERROR(N37+INDEX(AUXILIAR!$AO$3:$AO$8,MATCH(L37,AUXILIAR!$AP$3:$AP$8,1)),N37))</f>
        <v>0</v>
      </c>
      <c r="P37" s="92">
        <f t="shared" si="5"/>
        <v>0</v>
      </c>
      <c r="Q37" s="92">
        <f t="shared" si="6"/>
        <v>0</v>
      </c>
      <c r="R37" s="92" t="s">
        <v>0</v>
      </c>
      <c r="S37" s="88">
        <f t="shared" si="7"/>
        <v>0</v>
      </c>
      <c r="T37" s="102">
        <f>((AM37/(1+AUXILIAR!$BJ$4))-((AM37/(1+AUXILIAR!$BJ$4))*AUXILIAR!$BK$4))-(((AM37/(1+AUXILIAR!$BJ$4))-((AM37/(1+AUXILIAR!$BJ$4))*AUXILIAR!$BK$4))*((AUXILIAR!$BL$4+AUXILIAR!$BM$4)))</f>
        <v>0</v>
      </c>
      <c r="U37" s="102">
        <f>((S37/(1+AUXILIAR!$BJ$7))-((S37/(1+AUXILIAR!$BJ$7))*AUXILIAR!$BK$7))-(((S37/(1+AUXILIAR!$BJ$7))-((S37/(1+AUXILIAR!$BJ$7))*AUXILIAR!$BK$7))*((AUXILIAR!$BL$7+AUXILIAR!$BM$7)))</f>
        <v>0</v>
      </c>
      <c r="V37" s="103">
        <f>AM37-(AM37/(1+AUXILIAR!$BJ$4))</f>
        <v>0</v>
      </c>
      <c r="W37" s="104">
        <f>(AM37-V37)*AUXILIAR!$BK$4</f>
        <v>0</v>
      </c>
      <c r="X37" s="104">
        <f>(AM37-V37-W37)*(AUXILIAR!$BL$4+AUXILIAR!$BM$4)</f>
        <v>0</v>
      </c>
      <c r="Y37" s="104">
        <f>X37-(X37/(1+AUXILIAR!$BJ$7))</f>
        <v>0</v>
      </c>
      <c r="Z37" s="104">
        <f>(S37-Y37)*AUXILIAR!$BK$7</f>
        <v>0</v>
      </c>
      <c r="AA37" s="104">
        <f>(S37-Y37-Z37)*(AUXILIAR!$BL$7+AUXILIAR!$BM$7)</f>
        <v>0</v>
      </c>
      <c r="AB37" s="105">
        <f t="shared" si="8"/>
        <v>0</v>
      </c>
      <c r="AC37" s="105">
        <f t="shared" si="9"/>
        <v>0</v>
      </c>
      <c r="AD37" s="105">
        <f t="shared" si="10"/>
        <v>0</v>
      </c>
      <c r="AE37" s="105">
        <f t="shared" si="11"/>
        <v>0</v>
      </c>
      <c r="AF37" s="105">
        <f t="shared" si="12"/>
        <v>0</v>
      </c>
      <c r="AG37" s="104">
        <f t="shared" si="13"/>
        <v>0</v>
      </c>
      <c r="AH37" s="102">
        <f t="shared" si="14"/>
        <v>0</v>
      </c>
      <c r="AI37" s="106">
        <f t="shared" si="15"/>
        <v>0</v>
      </c>
      <c r="AJ37" s="102">
        <f t="shared" si="16"/>
        <v>0</v>
      </c>
      <c r="AK37" s="102">
        <f t="shared" si="17"/>
        <v>0</v>
      </c>
      <c r="AL37" s="102">
        <f>AUXILIAR!$BM$12</f>
        <v>1</v>
      </c>
      <c r="AM37" s="102">
        <f>IF($E$2="XADREZ",
     IFERROR(VLOOKUP(G37,AUXILIAR!AB:AC,2,TRUE),0),
     IF(AC34="SIM", 0, IFERROR(VLOOKUP(G37,AUXILIAR!AB:AC,2,TRUE),0))
)</f>
        <v>0</v>
      </c>
      <c r="AN37" s="102">
        <f t="shared" si="18"/>
        <v>0</v>
      </c>
      <c r="AO37" s="102">
        <f t="shared" si="19"/>
        <v>0</v>
      </c>
      <c r="AP37" s="102">
        <f t="shared" si="20"/>
        <v>0</v>
      </c>
      <c r="AQ37" s="102" t="str">
        <f>IFERROR(INDEX(AUXILIAR!$AG$4:$AG$21,MATCH(G37,AUXILIAR!$AH$4:$AH$21,0))*AM37,"-")</f>
        <v>-</v>
      </c>
      <c r="AR37" s="107" t="str">
        <f>IF(R37="GUILHOTINA",IFERROR(VLOOKUP(G37,AUXILIAR!$Q:$S,3,FALSE),""),IF(R37="LASER",IFERROR(VLOOKUP(G37,AUXILIAR!$E:$I,3,FALSE),""),IF(R37="PLASMA",IFERROR(VLOOKUP(G37,AUXILIAR!$K:$O,3,FALSE),""),"")))</f>
        <v/>
      </c>
      <c r="AS37" s="89" t="str">
        <f t="shared" si="21"/>
        <v/>
      </c>
      <c r="AT37" s="89" t="str">
        <f t="shared" si="22"/>
        <v/>
      </c>
      <c r="AU37" s="89" t="str">
        <f t="shared" si="23"/>
        <v/>
      </c>
      <c r="AV37" s="89" t="str">
        <f t="shared" si="24"/>
        <v/>
      </c>
      <c r="AW37" s="89" t="str">
        <f t="shared" si="25"/>
        <v/>
      </c>
      <c r="AY37" s="144">
        <f t="shared" si="1"/>
        <v>0</v>
      </c>
    </row>
    <row r="38" spans="1:51" hidden="1" x14ac:dyDescent="0.35">
      <c r="A38" s="85"/>
      <c r="B38" s="85"/>
      <c r="C38" s="85"/>
      <c r="D38" s="85"/>
      <c r="E38" s="86"/>
      <c r="F38" s="86"/>
      <c r="G38" s="86"/>
      <c r="H38" s="87"/>
      <c r="I38" s="87"/>
      <c r="J38" s="85"/>
      <c r="K38" s="101">
        <v>1200</v>
      </c>
      <c r="L38" s="90" t="str">
        <f t="shared" si="2"/>
        <v/>
      </c>
      <c r="M38" s="91" t="str">
        <f t="shared" si="3"/>
        <v/>
      </c>
      <c r="N38" s="91"/>
      <c r="O38" s="91">
        <f>IF(L38="",0,IFERROR(N38+INDEX(AUXILIAR!$AO$3:$AO$8,MATCH(L38,AUXILIAR!$AP$3:$AP$8,1)),N38))</f>
        <v>0</v>
      </c>
      <c r="P38" s="92">
        <f t="shared" si="5"/>
        <v>0</v>
      </c>
      <c r="Q38" s="92">
        <f t="shared" si="6"/>
        <v>0</v>
      </c>
      <c r="R38" s="92" t="s">
        <v>0</v>
      </c>
      <c r="S38" s="88">
        <f t="shared" si="7"/>
        <v>0</v>
      </c>
      <c r="T38" s="102">
        <f>((AM38/(1+AUXILIAR!$BJ$4))-((AM38/(1+AUXILIAR!$BJ$4))*AUXILIAR!$BK$4))-(((AM38/(1+AUXILIAR!$BJ$4))-((AM38/(1+AUXILIAR!$BJ$4))*AUXILIAR!$BK$4))*((AUXILIAR!$BL$4+AUXILIAR!$BM$4)))</f>
        <v>0</v>
      </c>
      <c r="U38" s="102">
        <f>((S38/(1+AUXILIAR!$BJ$7))-((S38/(1+AUXILIAR!$BJ$7))*AUXILIAR!$BK$7))-(((S38/(1+AUXILIAR!$BJ$7))-((S38/(1+AUXILIAR!$BJ$7))*AUXILIAR!$BK$7))*((AUXILIAR!$BL$7+AUXILIAR!$BM$7)))</f>
        <v>0</v>
      </c>
      <c r="V38" s="103">
        <f>AM38-(AM38/(1+AUXILIAR!$BJ$4))</f>
        <v>0</v>
      </c>
      <c r="W38" s="104">
        <f>(AM38-V38)*AUXILIAR!$BK$4</f>
        <v>0</v>
      </c>
      <c r="X38" s="104">
        <f>(AM38-V38-W38)*(AUXILIAR!$BL$4+AUXILIAR!$BM$4)</f>
        <v>0</v>
      </c>
      <c r="Y38" s="104">
        <f>X38-(X38/(1+AUXILIAR!$BJ$7))</f>
        <v>0</v>
      </c>
      <c r="Z38" s="104">
        <f>(S38-Y38)*AUXILIAR!$BK$7</f>
        <v>0</v>
      </c>
      <c r="AA38" s="104">
        <f>(S38-Y38-Z38)*(AUXILIAR!$BL$7+AUXILIAR!$BM$7)</f>
        <v>0</v>
      </c>
      <c r="AB38" s="105">
        <f t="shared" si="8"/>
        <v>0</v>
      </c>
      <c r="AC38" s="105">
        <f t="shared" si="9"/>
        <v>0</v>
      </c>
      <c r="AD38" s="105">
        <f t="shared" si="10"/>
        <v>0</v>
      </c>
      <c r="AE38" s="105">
        <f t="shared" si="11"/>
        <v>0</v>
      </c>
      <c r="AF38" s="105">
        <f t="shared" si="12"/>
        <v>0</v>
      </c>
      <c r="AG38" s="104">
        <f t="shared" si="13"/>
        <v>0</v>
      </c>
      <c r="AH38" s="102">
        <f t="shared" si="14"/>
        <v>0</v>
      </c>
      <c r="AI38" s="106">
        <f t="shared" si="15"/>
        <v>0</v>
      </c>
      <c r="AJ38" s="102">
        <f t="shared" si="16"/>
        <v>0</v>
      </c>
      <c r="AK38" s="102">
        <f t="shared" si="17"/>
        <v>0</v>
      </c>
      <c r="AL38" s="102">
        <f>AUXILIAR!$BM$12</f>
        <v>1</v>
      </c>
      <c r="AM38" s="102">
        <f>IF($E$2="XADREZ",
     IFERROR(VLOOKUP(G38,AUXILIAR!AB:AC,2,TRUE),0),
     IF(AC35="SIM", 0, IFERROR(VLOOKUP(G38,AUXILIAR!AB:AC,2,TRUE),0))
)</f>
        <v>0</v>
      </c>
      <c r="AN38" s="102">
        <f t="shared" si="18"/>
        <v>0</v>
      </c>
      <c r="AO38" s="102">
        <f t="shared" si="19"/>
        <v>0</v>
      </c>
      <c r="AP38" s="102">
        <f t="shared" si="20"/>
        <v>0</v>
      </c>
      <c r="AQ38" s="102" t="str">
        <f>IFERROR(INDEX(AUXILIAR!$AG$4:$AG$21,MATCH(G38,AUXILIAR!$AH$4:$AH$21,0))*AM38,"-")</f>
        <v>-</v>
      </c>
      <c r="AR38" s="107" t="str">
        <f>IF(R38="GUILHOTINA",IFERROR(VLOOKUP(G38,AUXILIAR!$Q:$S,3,FALSE),""),IF(R38="LASER",IFERROR(VLOOKUP(G38,AUXILIAR!$E:$I,3,FALSE),""),IF(R38="PLASMA",IFERROR(VLOOKUP(G38,AUXILIAR!$K:$O,3,FALSE),""),"")))</f>
        <v/>
      </c>
      <c r="AS38" s="89" t="str">
        <f t="shared" si="21"/>
        <v/>
      </c>
      <c r="AT38" s="89" t="str">
        <f t="shared" si="22"/>
        <v/>
      </c>
      <c r="AU38" s="89" t="str">
        <f t="shared" si="23"/>
        <v/>
      </c>
      <c r="AV38" s="89" t="str">
        <f t="shared" si="24"/>
        <v/>
      </c>
      <c r="AW38" s="89" t="str">
        <f t="shared" si="25"/>
        <v/>
      </c>
      <c r="AY38" s="144">
        <f t="shared" si="1"/>
        <v>0</v>
      </c>
    </row>
    <row r="39" spans="1:51" hidden="1" x14ac:dyDescent="0.35">
      <c r="A39" s="85"/>
      <c r="B39" s="85"/>
      <c r="C39" s="85"/>
      <c r="D39" s="85"/>
      <c r="E39" s="86"/>
      <c r="F39" s="86"/>
      <c r="G39" s="86"/>
      <c r="H39" s="87"/>
      <c r="I39" s="87"/>
      <c r="J39" s="85"/>
      <c r="K39" s="101">
        <v>1200</v>
      </c>
      <c r="L39" s="90" t="str">
        <f t="shared" si="2"/>
        <v/>
      </c>
      <c r="M39" s="91" t="str">
        <f t="shared" si="3"/>
        <v/>
      </c>
      <c r="N39" s="91"/>
      <c r="O39" s="91">
        <f>IF(L39="",0,IFERROR(N39+INDEX(AUXILIAR!$AO$3:$AO$8,MATCH(L39,AUXILIAR!$AP$3:$AP$8,1)),N39))</f>
        <v>0</v>
      </c>
      <c r="P39" s="92">
        <f t="shared" si="5"/>
        <v>0</v>
      </c>
      <c r="Q39" s="92">
        <f t="shared" si="6"/>
        <v>0</v>
      </c>
      <c r="R39" s="92" t="s">
        <v>0</v>
      </c>
      <c r="S39" s="88">
        <f t="shared" si="7"/>
        <v>0</v>
      </c>
      <c r="T39" s="102">
        <f>((AM39/(1+AUXILIAR!$BJ$4))-((AM39/(1+AUXILIAR!$BJ$4))*AUXILIAR!$BK$4))-(((AM39/(1+AUXILIAR!$BJ$4))-((AM39/(1+AUXILIAR!$BJ$4))*AUXILIAR!$BK$4))*((AUXILIAR!$BL$4+AUXILIAR!$BM$4)))</f>
        <v>0</v>
      </c>
      <c r="U39" s="102">
        <f>((S39/(1+AUXILIAR!$BJ$7))-((S39/(1+AUXILIAR!$BJ$7))*AUXILIAR!$BK$7))-(((S39/(1+AUXILIAR!$BJ$7))-((S39/(1+AUXILIAR!$BJ$7))*AUXILIAR!$BK$7))*((AUXILIAR!$BL$7+AUXILIAR!$BM$7)))</f>
        <v>0</v>
      </c>
      <c r="V39" s="103">
        <f>AM39-(AM39/(1+AUXILIAR!$BJ$4))</f>
        <v>0</v>
      </c>
      <c r="W39" s="104">
        <f>(AM39-V39)*AUXILIAR!$BK$4</f>
        <v>0</v>
      </c>
      <c r="X39" s="104">
        <f>(AM39-V39-W39)*(AUXILIAR!$BL$4+AUXILIAR!$BM$4)</f>
        <v>0</v>
      </c>
      <c r="Y39" s="104">
        <f>X39-(X39/(1+AUXILIAR!$BJ$7))</f>
        <v>0</v>
      </c>
      <c r="Z39" s="104">
        <f>(S39-Y39)*AUXILIAR!$BK$7</f>
        <v>0</v>
      </c>
      <c r="AA39" s="104">
        <f>(S39-Y39-Z39)*(AUXILIAR!$BL$7+AUXILIAR!$BM$7)</f>
        <v>0</v>
      </c>
      <c r="AB39" s="105">
        <f t="shared" si="8"/>
        <v>0</v>
      </c>
      <c r="AC39" s="105">
        <f t="shared" si="9"/>
        <v>0</v>
      </c>
      <c r="AD39" s="105">
        <f t="shared" si="10"/>
        <v>0</v>
      </c>
      <c r="AE39" s="105">
        <f t="shared" si="11"/>
        <v>0</v>
      </c>
      <c r="AF39" s="105">
        <f t="shared" si="12"/>
        <v>0</v>
      </c>
      <c r="AG39" s="104">
        <f t="shared" si="13"/>
        <v>0</v>
      </c>
      <c r="AH39" s="102">
        <f t="shared" si="14"/>
        <v>0</v>
      </c>
      <c r="AI39" s="106">
        <f t="shared" si="15"/>
        <v>0</v>
      </c>
      <c r="AJ39" s="102">
        <f t="shared" si="16"/>
        <v>0</v>
      </c>
      <c r="AK39" s="102">
        <f t="shared" si="17"/>
        <v>0</v>
      </c>
      <c r="AL39" s="102">
        <f>AUXILIAR!$BM$12</f>
        <v>1</v>
      </c>
      <c r="AM39" s="102">
        <f>IF($E$2="XADREZ",
     IFERROR(VLOOKUP(G39,AUXILIAR!AB:AC,2,TRUE),0),
     IF(AC36="SIM", 0, IFERROR(VLOOKUP(G39,AUXILIAR!AB:AC,2,TRUE),0))
)</f>
        <v>0</v>
      </c>
      <c r="AN39" s="102">
        <f t="shared" si="18"/>
        <v>0</v>
      </c>
      <c r="AO39" s="102">
        <f t="shared" si="19"/>
        <v>0</v>
      </c>
      <c r="AP39" s="102">
        <f t="shared" si="20"/>
        <v>0</v>
      </c>
      <c r="AQ39" s="102" t="str">
        <f>IFERROR(INDEX(AUXILIAR!$AG$4:$AG$21,MATCH(G39,AUXILIAR!$AH$4:$AH$21,0))*AM39,"-")</f>
        <v>-</v>
      </c>
      <c r="AR39" s="107" t="str">
        <f>IF(R39="GUILHOTINA",IFERROR(VLOOKUP(G39,AUXILIAR!$Q:$S,3,FALSE),""),IF(R39="LASER",IFERROR(VLOOKUP(G39,AUXILIAR!$E:$I,3,FALSE),""),IF(R39="PLASMA",IFERROR(VLOOKUP(G39,AUXILIAR!$K:$O,3,FALSE),""),"")))</f>
        <v/>
      </c>
      <c r="AS39" s="89" t="str">
        <f t="shared" si="21"/>
        <v/>
      </c>
      <c r="AT39" s="89" t="str">
        <f t="shared" si="22"/>
        <v/>
      </c>
      <c r="AU39" s="89" t="str">
        <f t="shared" si="23"/>
        <v/>
      </c>
      <c r="AV39" s="89" t="str">
        <f t="shared" si="24"/>
        <v/>
      </c>
      <c r="AW39" s="89" t="str">
        <f t="shared" si="25"/>
        <v/>
      </c>
      <c r="AY39" s="144">
        <f t="shared" si="1"/>
        <v>0</v>
      </c>
    </row>
    <row r="40" spans="1:51" hidden="1" x14ac:dyDescent="0.35">
      <c r="A40" s="85"/>
      <c r="B40" s="85"/>
      <c r="C40" s="85"/>
      <c r="D40" s="85"/>
      <c r="E40" s="86"/>
      <c r="F40" s="86"/>
      <c r="G40" s="86"/>
      <c r="H40" s="87"/>
      <c r="I40" s="87"/>
      <c r="J40" s="85"/>
      <c r="K40" s="101">
        <v>1200</v>
      </c>
      <c r="L40" s="90" t="str">
        <f t="shared" si="2"/>
        <v/>
      </c>
      <c r="M40" s="91" t="str">
        <f t="shared" si="3"/>
        <v/>
      </c>
      <c r="N40" s="91"/>
      <c r="O40" s="91">
        <f>IF(L40="",0,IFERROR(N40+INDEX(AUXILIAR!$AO$3:$AO$8,MATCH(L40,AUXILIAR!$AP$3:$AP$8,1)),N40))</f>
        <v>0</v>
      </c>
      <c r="P40" s="92">
        <f t="shared" si="5"/>
        <v>0</v>
      </c>
      <c r="Q40" s="92">
        <f t="shared" si="6"/>
        <v>0</v>
      </c>
      <c r="R40" s="92" t="s">
        <v>0</v>
      </c>
      <c r="S40" s="88">
        <f t="shared" si="7"/>
        <v>0</v>
      </c>
      <c r="T40" s="102">
        <f>((AM40/(1+AUXILIAR!$BJ$4))-((AM40/(1+AUXILIAR!$BJ$4))*AUXILIAR!$BK$4))-(((AM40/(1+AUXILIAR!$BJ$4))-((AM40/(1+AUXILIAR!$BJ$4))*AUXILIAR!$BK$4))*((AUXILIAR!$BL$4+AUXILIAR!$BM$4)))</f>
        <v>0</v>
      </c>
      <c r="U40" s="102">
        <f>((S40/(1+AUXILIAR!$BJ$7))-((S40/(1+AUXILIAR!$BJ$7))*AUXILIAR!$BK$7))-(((S40/(1+AUXILIAR!$BJ$7))-((S40/(1+AUXILIAR!$BJ$7))*AUXILIAR!$BK$7))*((AUXILIAR!$BL$7+AUXILIAR!$BM$7)))</f>
        <v>0</v>
      </c>
      <c r="V40" s="103">
        <f>AM40-(AM40/(1+AUXILIAR!$BJ$4))</f>
        <v>0</v>
      </c>
      <c r="W40" s="104">
        <f>(AM40-V40)*AUXILIAR!$BK$4</f>
        <v>0</v>
      </c>
      <c r="X40" s="104">
        <f>(AM40-V40-W40)*(AUXILIAR!$BL$4+AUXILIAR!$BM$4)</f>
        <v>0</v>
      </c>
      <c r="Y40" s="104">
        <f>X40-(X40/(1+AUXILIAR!$BJ$7))</f>
        <v>0</v>
      </c>
      <c r="Z40" s="104">
        <f>(S40-Y40)*AUXILIAR!$BK$7</f>
        <v>0</v>
      </c>
      <c r="AA40" s="104">
        <f>(S40-Y40-Z40)*(AUXILIAR!$BL$7+AUXILIAR!$BM$7)</f>
        <v>0</v>
      </c>
      <c r="AB40" s="105">
        <f t="shared" si="8"/>
        <v>0</v>
      </c>
      <c r="AC40" s="105">
        <f t="shared" si="9"/>
        <v>0</v>
      </c>
      <c r="AD40" s="105">
        <f t="shared" si="10"/>
        <v>0</v>
      </c>
      <c r="AE40" s="105">
        <f t="shared" si="11"/>
        <v>0</v>
      </c>
      <c r="AF40" s="105">
        <f t="shared" si="12"/>
        <v>0</v>
      </c>
      <c r="AG40" s="104">
        <f t="shared" si="13"/>
        <v>0</v>
      </c>
      <c r="AH40" s="102">
        <f t="shared" si="14"/>
        <v>0</v>
      </c>
      <c r="AI40" s="106">
        <f t="shared" si="15"/>
        <v>0</v>
      </c>
      <c r="AJ40" s="102">
        <f t="shared" si="16"/>
        <v>0</v>
      </c>
      <c r="AK40" s="102">
        <f t="shared" si="17"/>
        <v>0</v>
      </c>
      <c r="AL40" s="102">
        <f>AUXILIAR!$BM$12</f>
        <v>1</v>
      </c>
      <c r="AM40" s="102">
        <f>IF($E$2="XADREZ",
     IFERROR(VLOOKUP(G40,AUXILIAR!AB:AC,2,TRUE),0),
     IF(AC37="SIM", 0, IFERROR(VLOOKUP(G40,AUXILIAR!AB:AC,2,TRUE),0))
)</f>
        <v>0</v>
      </c>
      <c r="AN40" s="102">
        <f t="shared" si="18"/>
        <v>0</v>
      </c>
      <c r="AO40" s="102">
        <f t="shared" si="19"/>
        <v>0</v>
      </c>
      <c r="AP40" s="102">
        <f t="shared" si="20"/>
        <v>0</v>
      </c>
      <c r="AQ40" s="102" t="str">
        <f>IFERROR(INDEX(AUXILIAR!$AG$4:$AG$21,MATCH(G40,AUXILIAR!$AH$4:$AH$21,0))*AM40,"-")</f>
        <v>-</v>
      </c>
      <c r="AR40" s="107" t="str">
        <f>IF(R40="GUILHOTINA",IFERROR(VLOOKUP(G40,AUXILIAR!$Q:$S,3,FALSE),""),IF(R40="LASER",IFERROR(VLOOKUP(G40,AUXILIAR!$E:$I,3,FALSE),""),IF(R40="PLASMA",IFERROR(VLOOKUP(G40,AUXILIAR!$K:$O,3,FALSE),""),"")))</f>
        <v/>
      </c>
      <c r="AS40" s="89" t="str">
        <f t="shared" si="21"/>
        <v/>
      </c>
      <c r="AT40" s="89" t="str">
        <f t="shared" si="22"/>
        <v/>
      </c>
      <c r="AU40" s="89" t="str">
        <f t="shared" si="23"/>
        <v/>
      </c>
      <c r="AV40" s="89" t="str">
        <f t="shared" si="24"/>
        <v/>
      </c>
      <c r="AW40" s="89" t="str">
        <f t="shared" si="25"/>
        <v/>
      </c>
      <c r="AY40" s="144">
        <f t="shared" si="1"/>
        <v>0</v>
      </c>
    </row>
    <row r="41" spans="1:51" hidden="1" x14ac:dyDescent="0.35">
      <c r="A41" s="85"/>
      <c r="B41" s="85"/>
      <c r="C41" s="85"/>
      <c r="D41" s="85"/>
      <c r="E41" s="86"/>
      <c r="F41" s="86"/>
      <c r="G41" s="86"/>
      <c r="H41" s="87"/>
      <c r="I41" s="87"/>
      <c r="J41" s="85"/>
      <c r="K41" s="101">
        <v>1200</v>
      </c>
      <c r="L41" s="90" t="str">
        <f t="shared" si="2"/>
        <v/>
      </c>
      <c r="M41" s="91" t="str">
        <f t="shared" si="3"/>
        <v/>
      </c>
      <c r="N41" s="91"/>
      <c r="O41" s="91">
        <f>IF(L41="",0,IFERROR(N41+INDEX(AUXILIAR!$AO$3:$AO$8,MATCH(L41,AUXILIAR!$AP$3:$AP$8,1)),N41))</f>
        <v>0</v>
      </c>
      <c r="P41" s="92">
        <f t="shared" si="5"/>
        <v>0</v>
      </c>
      <c r="Q41" s="92">
        <f t="shared" si="6"/>
        <v>0</v>
      </c>
      <c r="R41" s="92" t="s">
        <v>0</v>
      </c>
      <c r="S41" s="88">
        <f t="shared" si="7"/>
        <v>0</v>
      </c>
      <c r="T41" s="102">
        <f>((AM41/(1+AUXILIAR!$BJ$4))-((AM41/(1+AUXILIAR!$BJ$4))*AUXILIAR!$BK$4))-(((AM41/(1+AUXILIAR!$BJ$4))-((AM41/(1+AUXILIAR!$BJ$4))*AUXILIAR!$BK$4))*((AUXILIAR!$BL$4+AUXILIAR!$BM$4)))</f>
        <v>0</v>
      </c>
      <c r="U41" s="102">
        <f>((S41/(1+AUXILIAR!$BJ$7))-((S41/(1+AUXILIAR!$BJ$7))*AUXILIAR!$BK$7))-(((S41/(1+AUXILIAR!$BJ$7))-((S41/(1+AUXILIAR!$BJ$7))*AUXILIAR!$BK$7))*((AUXILIAR!$BL$7+AUXILIAR!$BM$7)))</f>
        <v>0</v>
      </c>
      <c r="V41" s="103">
        <f>AM41-(AM41/(1+AUXILIAR!$BJ$4))</f>
        <v>0</v>
      </c>
      <c r="W41" s="104">
        <f>(AM41-V41)*AUXILIAR!$BK$4</f>
        <v>0</v>
      </c>
      <c r="X41" s="104">
        <f>(AM41-V41-W41)*(AUXILIAR!$BL$4+AUXILIAR!$BM$4)</f>
        <v>0</v>
      </c>
      <c r="Y41" s="104">
        <f>X41-(X41/(1+AUXILIAR!$BJ$7))</f>
        <v>0</v>
      </c>
      <c r="Z41" s="104">
        <f>(S41-Y41)*AUXILIAR!$BK$7</f>
        <v>0</v>
      </c>
      <c r="AA41" s="104">
        <f>(S41-Y41-Z41)*(AUXILIAR!$BL$7+AUXILIAR!$BM$7)</f>
        <v>0</v>
      </c>
      <c r="AB41" s="105">
        <f t="shared" si="8"/>
        <v>0</v>
      </c>
      <c r="AC41" s="105">
        <f t="shared" si="9"/>
        <v>0</v>
      </c>
      <c r="AD41" s="105">
        <f t="shared" si="10"/>
        <v>0</v>
      </c>
      <c r="AE41" s="105">
        <f t="shared" si="11"/>
        <v>0</v>
      </c>
      <c r="AF41" s="105">
        <f t="shared" si="12"/>
        <v>0</v>
      </c>
      <c r="AG41" s="104">
        <f t="shared" si="13"/>
        <v>0</v>
      </c>
      <c r="AH41" s="102">
        <f t="shared" si="14"/>
        <v>0</v>
      </c>
      <c r="AI41" s="106">
        <f t="shared" si="15"/>
        <v>0</v>
      </c>
      <c r="AJ41" s="102">
        <f t="shared" si="16"/>
        <v>0</v>
      </c>
      <c r="AK41" s="102">
        <f t="shared" si="17"/>
        <v>0</v>
      </c>
      <c r="AL41" s="102">
        <f>AUXILIAR!$BM$12</f>
        <v>1</v>
      </c>
      <c r="AM41" s="102">
        <f>IF($E$2="XADREZ",
     IFERROR(VLOOKUP(G41,AUXILIAR!AB:AC,2,TRUE),0),
     IF(AC38="SIM", 0, IFERROR(VLOOKUP(G41,AUXILIAR!AB:AC,2,TRUE),0))
)</f>
        <v>0</v>
      </c>
      <c r="AN41" s="102">
        <f t="shared" si="18"/>
        <v>0</v>
      </c>
      <c r="AO41" s="102">
        <f t="shared" si="19"/>
        <v>0</v>
      </c>
      <c r="AP41" s="102">
        <f t="shared" si="20"/>
        <v>0</v>
      </c>
      <c r="AQ41" s="102" t="str">
        <f>IFERROR(INDEX(AUXILIAR!$AG$4:$AG$21,MATCH(G41,AUXILIAR!$AH$4:$AH$21,0))*AM41,"-")</f>
        <v>-</v>
      </c>
      <c r="AR41" s="107" t="str">
        <f>IF(R41="GUILHOTINA",IFERROR(VLOOKUP(G41,AUXILIAR!$Q:$S,3,FALSE),""),IF(R41="LASER",IFERROR(VLOOKUP(G41,AUXILIAR!$E:$I,3,FALSE),""),IF(R41="PLASMA",IFERROR(VLOOKUP(G41,AUXILIAR!$K:$O,3,FALSE),""),"")))</f>
        <v/>
      </c>
      <c r="AS41" s="89" t="str">
        <f t="shared" si="21"/>
        <v/>
      </c>
      <c r="AT41" s="89" t="str">
        <f t="shared" si="22"/>
        <v/>
      </c>
      <c r="AU41" s="89" t="str">
        <f t="shared" si="23"/>
        <v/>
      </c>
      <c r="AV41" s="89" t="str">
        <f t="shared" si="24"/>
        <v/>
      </c>
      <c r="AW41" s="89" t="str">
        <f t="shared" si="25"/>
        <v/>
      </c>
      <c r="AY41" s="144">
        <f t="shared" si="1"/>
        <v>0</v>
      </c>
    </row>
    <row r="42" spans="1:51" hidden="1" x14ac:dyDescent="0.35">
      <c r="A42" s="85"/>
      <c r="B42" s="85"/>
      <c r="C42" s="85"/>
      <c r="D42" s="85"/>
      <c r="E42" s="86"/>
      <c r="F42" s="86"/>
      <c r="G42" s="86"/>
      <c r="H42" s="87"/>
      <c r="I42" s="87"/>
      <c r="J42" s="85"/>
      <c r="K42" s="101">
        <v>1200</v>
      </c>
      <c r="L42" s="90" t="str">
        <f t="shared" si="2"/>
        <v/>
      </c>
      <c r="M42" s="91" t="str">
        <f t="shared" si="3"/>
        <v/>
      </c>
      <c r="N42" s="91"/>
      <c r="O42" s="91">
        <f>IF(L42="",0,IFERROR(N42+INDEX(AUXILIAR!$AO$3:$AO$8,MATCH(L42,AUXILIAR!$AP$3:$AP$8,1)),N42))</f>
        <v>0</v>
      </c>
      <c r="P42" s="92">
        <f t="shared" si="5"/>
        <v>0</v>
      </c>
      <c r="Q42" s="92">
        <f t="shared" si="6"/>
        <v>0</v>
      </c>
      <c r="R42" s="92" t="s">
        <v>0</v>
      </c>
      <c r="S42" s="88">
        <f t="shared" si="7"/>
        <v>0</v>
      </c>
      <c r="T42" s="102">
        <f>((AM42/(1+AUXILIAR!$BJ$4))-((AM42/(1+AUXILIAR!$BJ$4))*AUXILIAR!$BK$4))-(((AM42/(1+AUXILIAR!$BJ$4))-((AM42/(1+AUXILIAR!$BJ$4))*AUXILIAR!$BK$4))*((AUXILIAR!$BL$4+AUXILIAR!$BM$4)))</f>
        <v>0</v>
      </c>
      <c r="U42" s="102">
        <f>((S42/(1+AUXILIAR!$BJ$7))-((S42/(1+AUXILIAR!$BJ$7))*AUXILIAR!$BK$7))-(((S42/(1+AUXILIAR!$BJ$7))-((S42/(1+AUXILIAR!$BJ$7))*AUXILIAR!$BK$7))*((AUXILIAR!$BL$7+AUXILIAR!$BM$7)))</f>
        <v>0</v>
      </c>
      <c r="V42" s="103">
        <f>AM42-(AM42/(1+AUXILIAR!$BJ$4))</f>
        <v>0</v>
      </c>
      <c r="W42" s="104">
        <f>(AM42-V42)*AUXILIAR!$BK$4</f>
        <v>0</v>
      </c>
      <c r="X42" s="104">
        <f>(AM42-V42-W42)*(AUXILIAR!$BL$4+AUXILIAR!$BM$4)</f>
        <v>0</v>
      </c>
      <c r="Y42" s="104">
        <f>X42-(X42/(1+AUXILIAR!$BJ$7))</f>
        <v>0</v>
      </c>
      <c r="Z42" s="104">
        <f>(S42-Y42)*AUXILIAR!$BK$7</f>
        <v>0</v>
      </c>
      <c r="AA42" s="104">
        <f>(S42-Y42-Z42)*(AUXILIAR!$BL$7+AUXILIAR!$BM$7)</f>
        <v>0</v>
      </c>
      <c r="AB42" s="105">
        <f t="shared" si="8"/>
        <v>0</v>
      </c>
      <c r="AC42" s="105">
        <f t="shared" si="9"/>
        <v>0</v>
      </c>
      <c r="AD42" s="105">
        <f t="shared" si="10"/>
        <v>0</v>
      </c>
      <c r="AE42" s="105">
        <f t="shared" si="11"/>
        <v>0</v>
      </c>
      <c r="AF42" s="105">
        <f t="shared" si="12"/>
        <v>0</v>
      </c>
      <c r="AG42" s="104">
        <f t="shared" si="13"/>
        <v>0</v>
      </c>
      <c r="AH42" s="102">
        <f t="shared" si="14"/>
        <v>0</v>
      </c>
      <c r="AI42" s="106">
        <f t="shared" si="15"/>
        <v>0</v>
      </c>
      <c r="AJ42" s="102">
        <f t="shared" si="16"/>
        <v>0</v>
      </c>
      <c r="AK42" s="102">
        <f t="shared" si="17"/>
        <v>0</v>
      </c>
      <c r="AL42" s="102">
        <f>AUXILIAR!$BM$12</f>
        <v>1</v>
      </c>
      <c r="AM42" s="102">
        <f>IF($E$2="XADREZ",
     IFERROR(VLOOKUP(G42,AUXILIAR!AB:AC,2,TRUE),0),
     IF(AC39="SIM", 0, IFERROR(VLOOKUP(G42,AUXILIAR!AB:AC,2,TRUE),0))
)</f>
        <v>0</v>
      </c>
      <c r="AN42" s="102">
        <f t="shared" si="18"/>
        <v>0</v>
      </c>
      <c r="AO42" s="102">
        <f t="shared" si="19"/>
        <v>0</v>
      </c>
      <c r="AP42" s="102">
        <f t="shared" si="20"/>
        <v>0</v>
      </c>
      <c r="AQ42" s="102" t="str">
        <f>IFERROR(INDEX(AUXILIAR!$AG$4:$AG$21,MATCH(G42,AUXILIAR!$AH$4:$AH$21,0))*AM42,"-")</f>
        <v>-</v>
      </c>
      <c r="AR42" s="107" t="str">
        <f>IF(R42="GUILHOTINA",IFERROR(VLOOKUP(G42,AUXILIAR!$Q:$S,3,FALSE),""),IF(R42="LASER",IFERROR(VLOOKUP(G42,AUXILIAR!$E:$I,3,FALSE),""),IF(R42="PLASMA",IFERROR(VLOOKUP(G42,AUXILIAR!$K:$O,3,FALSE),""),"")))</f>
        <v/>
      </c>
      <c r="AS42" s="89" t="str">
        <f t="shared" si="21"/>
        <v/>
      </c>
      <c r="AT42" s="89" t="str">
        <f t="shared" si="22"/>
        <v/>
      </c>
      <c r="AU42" s="89" t="str">
        <f t="shared" si="23"/>
        <v/>
      </c>
      <c r="AV42" s="89" t="str">
        <f t="shared" si="24"/>
        <v/>
      </c>
      <c r="AW42" s="89" t="str">
        <f t="shared" si="25"/>
        <v/>
      </c>
      <c r="AY42" s="144">
        <f t="shared" si="1"/>
        <v>0</v>
      </c>
    </row>
    <row r="43" spans="1:51" hidden="1" x14ac:dyDescent="0.35">
      <c r="A43" s="85"/>
      <c r="B43" s="85"/>
      <c r="C43" s="85"/>
      <c r="D43" s="85"/>
      <c r="E43" s="86"/>
      <c r="F43" s="86"/>
      <c r="G43" s="86"/>
      <c r="H43" s="87"/>
      <c r="I43" s="87"/>
      <c r="J43" s="85"/>
      <c r="K43" s="101">
        <v>1200</v>
      </c>
      <c r="L43" s="90" t="str">
        <f t="shared" si="2"/>
        <v/>
      </c>
      <c r="M43" s="91" t="str">
        <f t="shared" si="3"/>
        <v/>
      </c>
      <c r="N43" s="91"/>
      <c r="O43" s="91">
        <f>IF(L43="",0,IFERROR(N43+INDEX(AUXILIAR!$AO$3:$AO$8,MATCH(L43,AUXILIAR!$AP$3:$AP$8,1)),N43))</f>
        <v>0</v>
      </c>
      <c r="P43" s="92">
        <f t="shared" si="5"/>
        <v>0</v>
      </c>
      <c r="Q43" s="92">
        <f t="shared" si="6"/>
        <v>0</v>
      </c>
      <c r="R43" s="92" t="s">
        <v>0</v>
      </c>
      <c r="S43" s="88">
        <f t="shared" si="7"/>
        <v>0</v>
      </c>
      <c r="T43" s="102">
        <f>((AM43/(1+AUXILIAR!$BJ$4))-((AM43/(1+AUXILIAR!$BJ$4))*AUXILIAR!$BK$4))-(((AM43/(1+AUXILIAR!$BJ$4))-((AM43/(1+AUXILIAR!$BJ$4))*AUXILIAR!$BK$4))*((AUXILIAR!$BL$4+AUXILIAR!$BM$4)))</f>
        <v>0</v>
      </c>
      <c r="U43" s="102">
        <f>((S43/(1+AUXILIAR!$BJ$7))-((S43/(1+AUXILIAR!$BJ$7))*AUXILIAR!$BK$7))-(((S43/(1+AUXILIAR!$BJ$7))-((S43/(1+AUXILIAR!$BJ$7))*AUXILIAR!$BK$7))*((AUXILIAR!$BL$7+AUXILIAR!$BM$7)))</f>
        <v>0</v>
      </c>
      <c r="V43" s="103">
        <f>AM43-(AM43/(1+AUXILIAR!$BJ$4))</f>
        <v>0</v>
      </c>
      <c r="W43" s="104">
        <f>(AM43-V43)*AUXILIAR!$BK$4</f>
        <v>0</v>
      </c>
      <c r="X43" s="104">
        <f>(AM43-V43-W43)*(AUXILIAR!$BL$4+AUXILIAR!$BM$4)</f>
        <v>0</v>
      </c>
      <c r="Y43" s="104">
        <f>X43-(X43/(1+AUXILIAR!$BJ$7))</f>
        <v>0</v>
      </c>
      <c r="Z43" s="104">
        <f>(S43-Y43)*AUXILIAR!$BK$7</f>
        <v>0</v>
      </c>
      <c r="AA43" s="104">
        <f>(S43-Y43-Z43)*(AUXILIAR!$BL$7+AUXILIAR!$BM$7)</f>
        <v>0</v>
      </c>
      <c r="AB43" s="105">
        <f t="shared" si="8"/>
        <v>0</v>
      </c>
      <c r="AC43" s="105">
        <f t="shared" si="9"/>
        <v>0</v>
      </c>
      <c r="AD43" s="105">
        <f t="shared" si="10"/>
        <v>0</v>
      </c>
      <c r="AE43" s="105">
        <f t="shared" si="11"/>
        <v>0</v>
      </c>
      <c r="AF43" s="105">
        <f t="shared" si="12"/>
        <v>0</v>
      </c>
      <c r="AG43" s="104">
        <f t="shared" si="13"/>
        <v>0</v>
      </c>
      <c r="AH43" s="102">
        <f t="shared" si="14"/>
        <v>0</v>
      </c>
      <c r="AI43" s="106">
        <f t="shared" si="15"/>
        <v>0</v>
      </c>
      <c r="AJ43" s="102">
        <f t="shared" si="16"/>
        <v>0</v>
      </c>
      <c r="AK43" s="102">
        <f t="shared" si="17"/>
        <v>0</v>
      </c>
      <c r="AL43" s="102">
        <f>AUXILIAR!$BM$12</f>
        <v>1</v>
      </c>
      <c r="AM43" s="102">
        <f>IF($E$2="XADREZ",
     IFERROR(VLOOKUP(G43,AUXILIAR!AB:AC,2,TRUE),0),
     IF(AC40="SIM", 0, IFERROR(VLOOKUP(G43,AUXILIAR!AB:AC,2,TRUE),0))
)</f>
        <v>0</v>
      </c>
      <c r="AN43" s="102">
        <f t="shared" si="18"/>
        <v>0</v>
      </c>
      <c r="AO43" s="102">
        <f t="shared" si="19"/>
        <v>0</v>
      </c>
      <c r="AP43" s="102">
        <f t="shared" si="20"/>
        <v>0</v>
      </c>
      <c r="AQ43" s="102" t="str">
        <f>IFERROR(INDEX(AUXILIAR!$AG$4:$AG$21,MATCH(G43,AUXILIAR!$AH$4:$AH$21,0))*AM43,"-")</f>
        <v>-</v>
      </c>
      <c r="AR43" s="107" t="str">
        <f>IF(R43="GUILHOTINA",IFERROR(VLOOKUP(G43,AUXILIAR!$Q:$S,3,FALSE),""),IF(R43="LASER",IFERROR(VLOOKUP(G43,AUXILIAR!$E:$I,3,FALSE),""),IF(R43="PLASMA",IFERROR(VLOOKUP(G43,AUXILIAR!$K:$O,3,FALSE),""),"")))</f>
        <v/>
      </c>
      <c r="AS43" s="89" t="str">
        <f t="shared" si="21"/>
        <v/>
      </c>
      <c r="AT43" s="89" t="str">
        <f t="shared" si="22"/>
        <v/>
      </c>
      <c r="AU43" s="89" t="str">
        <f t="shared" si="23"/>
        <v/>
      </c>
      <c r="AV43" s="89" t="str">
        <f t="shared" si="24"/>
        <v/>
      </c>
      <c r="AW43" s="89" t="str">
        <f t="shared" si="25"/>
        <v/>
      </c>
      <c r="AY43" s="144">
        <f t="shared" si="1"/>
        <v>0</v>
      </c>
    </row>
    <row r="44" spans="1:51" hidden="1" x14ac:dyDescent="0.35">
      <c r="A44" s="85"/>
      <c r="B44" s="85"/>
      <c r="C44" s="85"/>
      <c r="D44" s="85"/>
      <c r="E44" s="86"/>
      <c r="F44" s="86"/>
      <c r="G44" s="86"/>
      <c r="H44" s="87"/>
      <c r="I44" s="87"/>
      <c r="J44" s="85"/>
      <c r="K44" s="101">
        <v>1200</v>
      </c>
      <c r="L44" s="90" t="str">
        <f t="shared" si="2"/>
        <v/>
      </c>
      <c r="M44" s="91" t="str">
        <f t="shared" si="3"/>
        <v/>
      </c>
      <c r="N44" s="91"/>
      <c r="O44" s="91">
        <f>IF(L44="",0,IFERROR(N44+INDEX(AUXILIAR!$AO$3:$AO$8,MATCH(L44,AUXILIAR!$AP$3:$AP$8,1)),N44))</f>
        <v>0</v>
      </c>
      <c r="P44" s="92">
        <f t="shared" si="5"/>
        <v>0</v>
      </c>
      <c r="Q44" s="92">
        <f t="shared" si="6"/>
        <v>0</v>
      </c>
      <c r="R44" s="92" t="s">
        <v>0</v>
      </c>
      <c r="S44" s="88">
        <f t="shared" si="7"/>
        <v>0</v>
      </c>
      <c r="T44" s="102">
        <f>((AM44/(1+AUXILIAR!$BJ$4))-((AM44/(1+AUXILIAR!$BJ$4))*AUXILIAR!$BK$4))-(((AM44/(1+AUXILIAR!$BJ$4))-((AM44/(1+AUXILIAR!$BJ$4))*AUXILIAR!$BK$4))*((AUXILIAR!$BL$4+AUXILIAR!$BM$4)))</f>
        <v>0</v>
      </c>
      <c r="U44" s="102">
        <f>((S44/(1+AUXILIAR!$BJ$7))-((S44/(1+AUXILIAR!$BJ$7))*AUXILIAR!$BK$7))-(((S44/(1+AUXILIAR!$BJ$7))-((S44/(1+AUXILIAR!$BJ$7))*AUXILIAR!$BK$7))*((AUXILIAR!$BL$7+AUXILIAR!$BM$7)))</f>
        <v>0</v>
      </c>
      <c r="V44" s="103">
        <f>AM44-(AM44/(1+AUXILIAR!$BJ$4))</f>
        <v>0</v>
      </c>
      <c r="W44" s="104">
        <f>(AM44-V44)*AUXILIAR!$BK$4</f>
        <v>0</v>
      </c>
      <c r="X44" s="104">
        <f>(AM44-V44-W44)*(AUXILIAR!$BL$4+AUXILIAR!$BM$4)</f>
        <v>0</v>
      </c>
      <c r="Y44" s="104">
        <f>X44-(X44/(1+AUXILIAR!$BJ$7))</f>
        <v>0</v>
      </c>
      <c r="Z44" s="104">
        <f>(S44-Y44)*AUXILIAR!$BK$7</f>
        <v>0</v>
      </c>
      <c r="AA44" s="104">
        <f>(S44-Y44-Z44)*(AUXILIAR!$BL$7+AUXILIAR!$BM$7)</f>
        <v>0</v>
      </c>
      <c r="AB44" s="105">
        <f t="shared" si="8"/>
        <v>0</v>
      </c>
      <c r="AC44" s="105">
        <f t="shared" si="9"/>
        <v>0</v>
      </c>
      <c r="AD44" s="105">
        <f t="shared" si="10"/>
        <v>0</v>
      </c>
      <c r="AE44" s="105">
        <f t="shared" si="11"/>
        <v>0</v>
      </c>
      <c r="AF44" s="105">
        <f t="shared" si="12"/>
        <v>0</v>
      </c>
      <c r="AG44" s="104">
        <f t="shared" si="13"/>
        <v>0</v>
      </c>
      <c r="AH44" s="102">
        <f t="shared" si="14"/>
        <v>0</v>
      </c>
      <c r="AI44" s="106">
        <f t="shared" si="15"/>
        <v>0</v>
      </c>
      <c r="AJ44" s="102">
        <f t="shared" si="16"/>
        <v>0</v>
      </c>
      <c r="AK44" s="102">
        <f t="shared" si="17"/>
        <v>0</v>
      </c>
      <c r="AL44" s="102">
        <f>AUXILIAR!$BM$12</f>
        <v>1</v>
      </c>
      <c r="AM44" s="102">
        <f>IF($E$2="XADREZ",
     IFERROR(VLOOKUP(G44,AUXILIAR!AB:AC,2,TRUE),0),
     IF(AC41="SIM", 0, IFERROR(VLOOKUP(G44,AUXILIAR!AB:AC,2,TRUE),0))
)</f>
        <v>0</v>
      </c>
      <c r="AN44" s="102">
        <f t="shared" si="18"/>
        <v>0</v>
      </c>
      <c r="AO44" s="102">
        <f t="shared" si="19"/>
        <v>0</v>
      </c>
      <c r="AP44" s="102">
        <f t="shared" si="20"/>
        <v>0</v>
      </c>
      <c r="AQ44" s="102" t="str">
        <f>IFERROR(INDEX(AUXILIAR!$AG$4:$AG$21,MATCH(G44,AUXILIAR!$AH$4:$AH$21,0))*AM44,"-")</f>
        <v>-</v>
      </c>
      <c r="AR44" s="107" t="str">
        <f>IF(R44="GUILHOTINA",IFERROR(VLOOKUP(G44,AUXILIAR!$Q:$S,3,FALSE),""),IF(R44="LASER",IFERROR(VLOOKUP(G44,AUXILIAR!$E:$I,3,FALSE),""),IF(R44="PLASMA",IFERROR(VLOOKUP(G44,AUXILIAR!$K:$O,3,FALSE),""),"")))</f>
        <v/>
      </c>
      <c r="AS44" s="89" t="str">
        <f t="shared" si="21"/>
        <v/>
      </c>
      <c r="AT44" s="89" t="str">
        <f t="shared" si="22"/>
        <v/>
      </c>
      <c r="AU44" s="89" t="str">
        <f t="shared" si="23"/>
        <v/>
      </c>
      <c r="AV44" s="89" t="str">
        <f t="shared" si="24"/>
        <v/>
      </c>
      <c r="AW44" s="89" t="str">
        <f t="shared" si="25"/>
        <v/>
      </c>
      <c r="AY44" s="144">
        <f t="shared" si="1"/>
        <v>0</v>
      </c>
    </row>
    <row r="45" spans="1:51" hidden="1" x14ac:dyDescent="0.35">
      <c r="A45" s="85"/>
      <c r="B45" s="85"/>
      <c r="C45" s="85"/>
      <c r="D45" s="85"/>
      <c r="E45" s="86"/>
      <c r="F45" s="86"/>
      <c r="G45" s="86"/>
      <c r="H45" s="87"/>
      <c r="I45" s="87"/>
      <c r="J45" s="85"/>
      <c r="K45" s="101">
        <v>1200</v>
      </c>
      <c r="L45" s="90" t="str">
        <f t="shared" si="2"/>
        <v/>
      </c>
      <c r="M45" s="91" t="str">
        <f t="shared" si="3"/>
        <v/>
      </c>
      <c r="N45" s="91"/>
      <c r="O45" s="91">
        <f>IF(L45="",0,IFERROR(N45+INDEX(AUXILIAR!$AO$3:$AO$8,MATCH(L45,AUXILIAR!$AP$3:$AP$8,1)),N45))</f>
        <v>0</v>
      </c>
      <c r="P45" s="92">
        <f t="shared" si="5"/>
        <v>0</v>
      </c>
      <c r="Q45" s="92">
        <f t="shared" si="6"/>
        <v>0</v>
      </c>
      <c r="R45" s="92" t="s">
        <v>0</v>
      </c>
      <c r="S45" s="88">
        <f t="shared" si="7"/>
        <v>0</v>
      </c>
      <c r="T45" s="102">
        <f>((AM45/(1+AUXILIAR!$BJ$4))-((AM45/(1+AUXILIAR!$BJ$4))*AUXILIAR!$BK$4))-(((AM45/(1+AUXILIAR!$BJ$4))-((AM45/(1+AUXILIAR!$BJ$4))*AUXILIAR!$BK$4))*((AUXILIAR!$BL$4+AUXILIAR!$BM$4)))</f>
        <v>0</v>
      </c>
      <c r="U45" s="102">
        <f>((S45/(1+AUXILIAR!$BJ$7))-((S45/(1+AUXILIAR!$BJ$7))*AUXILIAR!$BK$7))-(((S45/(1+AUXILIAR!$BJ$7))-((S45/(1+AUXILIAR!$BJ$7))*AUXILIAR!$BK$7))*((AUXILIAR!$BL$7+AUXILIAR!$BM$7)))</f>
        <v>0</v>
      </c>
      <c r="V45" s="103">
        <f>AM45-(AM45/(1+AUXILIAR!$BJ$4))</f>
        <v>0</v>
      </c>
      <c r="W45" s="104">
        <f>(AM45-V45)*AUXILIAR!$BK$4</f>
        <v>0</v>
      </c>
      <c r="X45" s="104">
        <f>(AM45-V45-W45)*(AUXILIAR!$BL$4+AUXILIAR!$BM$4)</f>
        <v>0</v>
      </c>
      <c r="Y45" s="104">
        <f>X45-(X45/(1+AUXILIAR!$BJ$7))</f>
        <v>0</v>
      </c>
      <c r="Z45" s="104">
        <f>(S45-Y45)*AUXILIAR!$BK$7</f>
        <v>0</v>
      </c>
      <c r="AA45" s="104">
        <f>(S45-Y45-Z45)*(AUXILIAR!$BL$7+AUXILIAR!$BM$7)</f>
        <v>0</v>
      </c>
      <c r="AB45" s="105">
        <f t="shared" si="8"/>
        <v>0</v>
      </c>
      <c r="AC45" s="105">
        <f t="shared" si="9"/>
        <v>0</v>
      </c>
      <c r="AD45" s="105">
        <f t="shared" si="10"/>
        <v>0</v>
      </c>
      <c r="AE45" s="105">
        <f t="shared" si="11"/>
        <v>0</v>
      </c>
      <c r="AF45" s="105">
        <f t="shared" si="12"/>
        <v>0</v>
      </c>
      <c r="AG45" s="104">
        <f t="shared" si="13"/>
        <v>0</v>
      </c>
      <c r="AH45" s="102">
        <f t="shared" si="14"/>
        <v>0</v>
      </c>
      <c r="AI45" s="106">
        <f t="shared" si="15"/>
        <v>0</v>
      </c>
      <c r="AJ45" s="102">
        <f t="shared" si="16"/>
        <v>0</v>
      </c>
      <c r="AK45" s="102">
        <f t="shared" si="17"/>
        <v>0</v>
      </c>
      <c r="AL45" s="102">
        <f>AUXILIAR!$BM$12</f>
        <v>1</v>
      </c>
      <c r="AM45" s="102">
        <f>IF($E$2="XADREZ",
     IFERROR(VLOOKUP(G45,AUXILIAR!AB:AC,2,TRUE),0),
     IF(AC42="SIM", 0, IFERROR(VLOOKUP(G45,AUXILIAR!AB:AC,2,TRUE),0))
)</f>
        <v>0</v>
      </c>
      <c r="AN45" s="102">
        <f t="shared" si="18"/>
        <v>0</v>
      </c>
      <c r="AO45" s="102">
        <f t="shared" si="19"/>
        <v>0</v>
      </c>
      <c r="AP45" s="102">
        <f t="shared" si="20"/>
        <v>0</v>
      </c>
      <c r="AQ45" s="102" t="str">
        <f>IFERROR(INDEX(AUXILIAR!$AG$4:$AG$21,MATCH(G45,AUXILIAR!$AH$4:$AH$21,0))*AM45,"-")</f>
        <v>-</v>
      </c>
      <c r="AR45" s="107" t="str">
        <f>IF(R45="GUILHOTINA",IFERROR(VLOOKUP(G45,AUXILIAR!$Q:$S,3,FALSE),""),IF(R45="LASER",IFERROR(VLOOKUP(G45,AUXILIAR!$E:$I,3,FALSE),""),IF(R45="PLASMA",IFERROR(VLOOKUP(G45,AUXILIAR!$K:$O,3,FALSE),""),"")))</f>
        <v/>
      </c>
      <c r="AS45" s="89" t="str">
        <f t="shared" si="21"/>
        <v/>
      </c>
      <c r="AT45" s="89" t="str">
        <f t="shared" si="22"/>
        <v/>
      </c>
      <c r="AU45" s="89" t="str">
        <f t="shared" si="23"/>
        <v/>
      </c>
      <c r="AV45" s="89" t="str">
        <f t="shared" si="24"/>
        <v/>
      </c>
      <c r="AW45" s="89" t="str">
        <f t="shared" si="25"/>
        <v/>
      </c>
      <c r="AY45" s="144">
        <f t="shared" si="1"/>
        <v>0</v>
      </c>
    </row>
    <row r="46" spans="1:51" hidden="1" x14ac:dyDescent="0.35">
      <c r="A46" s="85"/>
      <c r="B46" s="85"/>
      <c r="C46" s="85"/>
      <c r="D46" s="85"/>
      <c r="E46" s="86"/>
      <c r="F46" s="86"/>
      <c r="G46" s="86"/>
      <c r="H46" s="87"/>
      <c r="I46" s="87"/>
      <c r="J46" s="85"/>
      <c r="K46" s="101">
        <v>1200</v>
      </c>
      <c r="L46" s="90" t="str">
        <f t="shared" si="2"/>
        <v/>
      </c>
      <c r="M46" s="91" t="str">
        <f t="shared" si="3"/>
        <v/>
      </c>
      <c r="N46" s="91"/>
      <c r="O46" s="91">
        <f>IF(L46="",0,IFERROR(N46+INDEX(AUXILIAR!$AO$3:$AO$8,MATCH(L46,AUXILIAR!$AP$3:$AP$8,1)),N46))</f>
        <v>0</v>
      </c>
      <c r="P46" s="92">
        <f t="shared" si="5"/>
        <v>0</v>
      </c>
      <c r="Q46" s="92">
        <f t="shared" si="6"/>
        <v>0</v>
      </c>
      <c r="R46" s="92" t="s">
        <v>0</v>
      </c>
      <c r="S46" s="88">
        <f t="shared" si="7"/>
        <v>0</v>
      </c>
      <c r="T46" s="102">
        <f>((AM46/(1+AUXILIAR!$BJ$4))-((AM46/(1+AUXILIAR!$BJ$4))*AUXILIAR!$BK$4))-(((AM46/(1+AUXILIAR!$BJ$4))-((AM46/(1+AUXILIAR!$BJ$4))*AUXILIAR!$BK$4))*((AUXILIAR!$BL$4+AUXILIAR!$BM$4)))</f>
        <v>0</v>
      </c>
      <c r="U46" s="102">
        <f>((S46/(1+AUXILIAR!$BJ$7))-((S46/(1+AUXILIAR!$BJ$7))*AUXILIAR!$BK$7))-(((S46/(1+AUXILIAR!$BJ$7))-((S46/(1+AUXILIAR!$BJ$7))*AUXILIAR!$BK$7))*((AUXILIAR!$BL$7+AUXILIAR!$BM$7)))</f>
        <v>0</v>
      </c>
      <c r="V46" s="103">
        <f>AM46-(AM46/(1+AUXILIAR!$BJ$4))</f>
        <v>0</v>
      </c>
      <c r="W46" s="104">
        <f>(AM46-V46)*AUXILIAR!$BK$4</f>
        <v>0</v>
      </c>
      <c r="X46" s="104">
        <f>(AM46-V46-W46)*(AUXILIAR!$BL$4+AUXILIAR!$BM$4)</f>
        <v>0</v>
      </c>
      <c r="Y46" s="104">
        <f>X46-(X46/(1+AUXILIAR!$BJ$7))</f>
        <v>0</v>
      </c>
      <c r="Z46" s="104">
        <f>(S46-Y46)*AUXILIAR!$BK$7</f>
        <v>0</v>
      </c>
      <c r="AA46" s="104">
        <f>(S46-Y46-Z46)*(AUXILIAR!$BL$7+AUXILIAR!$BM$7)</f>
        <v>0</v>
      </c>
      <c r="AB46" s="105">
        <f t="shared" si="8"/>
        <v>0</v>
      </c>
      <c r="AC46" s="105">
        <f t="shared" si="9"/>
        <v>0</v>
      </c>
      <c r="AD46" s="105">
        <f t="shared" si="10"/>
        <v>0</v>
      </c>
      <c r="AE46" s="105">
        <f t="shared" si="11"/>
        <v>0</v>
      </c>
      <c r="AF46" s="105">
        <f t="shared" si="12"/>
        <v>0</v>
      </c>
      <c r="AG46" s="104">
        <f t="shared" si="13"/>
        <v>0</v>
      </c>
      <c r="AH46" s="102">
        <f t="shared" si="14"/>
        <v>0</v>
      </c>
      <c r="AI46" s="106">
        <f t="shared" si="15"/>
        <v>0</v>
      </c>
      <c r="AJ46" s="102">
        <f t="shared" si="16"/>
        <v>0</v>
      </c>
      <c r="AK46" s="102">
        <f t="shared" si="17"/>
        <v>0</v>
      </c>
      <c r="AL46" s="102">
        <f>AUXILIAR!$BM$12</f>
        <v>1</v>
      </c>
      <c r="AM46" s="102">
        <f>IF($E$2="XADREZ",
     IFERROR(VLOOKUP(G46,AUXILIAR!AB:AC,2,TRUE),0),
     IF(AC43="SIM", 0, IFERROR(VLOOKUP(G46,AUXILIAR!AB:AC,2,TRUE),0))
)</f>
        <v>0</v>
      </c>
      <c r="AN46" s="102">
        <f t="shared" si="18"/>
        <v>0</v>
      </c>
      <c r="AO46" s="102">
        <f t="shared" si="19"/>
        <v>0</v>
      </c>
      <c r="AP46" s="102">
        <f t="shared" si="20"/>
        <v>0</v>
      </c>
      <c r="AQ46" s="102" t="str">
        <f>IFERROR(INDEX(AUXILIAR!$AG$4:$AG$21,MATCH(G46,AUXILIAR!$AH$4:$AH$21,0))*AM46,"-")</f>
        <v>-</v>
      </c>
      <c r="AR46" s="107" t="str">
        <f>IF(R46="GUILHOTINA",IFERROR(VLOOKUP(G46,AUXILIAR!$Q:$S,3,FALSE),""),IF(R46="LASER",IFERROR(VLOOKUP(G46,AUXILIAR!$E:$I,3,FALSE),""),IF(R46="PLASMA",IFERROR(VLOOKUP(G46,AUXILIAR!$K:$O,3,FALSE),""),"")))</f>
        <v/>
      </c>
      <c r="AS46" s="89" t="str">
        <f t="shared" si="21"/>
        <v/>
      </c>
      <c r="AT46" s="89" t="str">
        <f t="shared" si="22"/>
        <v/>
      </c>
      <c r="AU46" s="89" t="str">
        <f t="shared" si="23"/>
        <v/>
      </c>
      <c r="AV46" s="89" t="str">
        <f t="shared" si="24"/>
        <v/>
      </c>
      <c r="AW46" s="89" t="str">
        <f t="shared" si="25"/>
        <v/>
      </c>
      <c r="AY46" s="144">
        <f t="shared" si="1"/>
        <v>0</v>
      </c>
    </row>
    <row r="47" spans="1:51" hidden="1" x14ac:dyDescent="0.35">
      <c r="A47" s="85"/>
      <c r="B47" s="85"/>
      <c r="C47" s="85"/>
      <c r="D47" s="85"/>
      <c r="E47" s="86"/>
      <c r="F47" s="86"/>
      <c r="G47" s="86"/>
      <c r="H47" s="87"/>
      <c r="I47" s="87"/>
      <c r="J47" s="85"/>
      <c r="K47" s="101">
        <v>1200</v>
      </c>
      <c r="L47" s="90" t="str">
        <f t="shared" si="2"/>
        <v/>
      </c>
      <c r="M47" s="91" t="str">
        <f t="shared" si="3"/>
        <v/>
      </c>
      <c r="N47" s="91"/>
      <c r="O47" s="91">
        <f>IF(L47="",0,IFERROR(N47+INDEX(AUXILIAR!$AO$3:$AO$8,MATCH(L47,AUXILIAR!$AP$3:$AP$8,1)),N47))</f>
        <v>0</v>
      </c>
      <c r="P47" s="92">
        <f t="shared" si="5"/>
        <v>0</v>
      </c>
      <c r="Q47" s="92">
        <f t="shared" si="6"/>
        <v>0</v>
      </c>
      <c r="R47" s="92" t="s">
        <v>0</v>
      </c>
      <c r="S47" s="88">
        <f t="shared" si="7"/>
        <v>0</v>
      </c>
      <c r="T47" s="102">
        <f>((AM47/(1+AUXILIAR!$BJ$4))-((AM47/(1+AUXILIAR!$BJ$4))*AUXILIAR!$BK$4))-(((AM47/(1+AUXILIAR!$BJ$4))-((AM47/(1+AUXILIAR!$BJ$4))*AUXILIAR!$BK$4))*((AUXILIAR!$BL$4+AUXILIAR!$BM$4)))</f>
        <v>0</v>
      </c>
      <c r="U47" s="102">
        <f>((S47/(1+AUXILIAR!$BJ$7))-((S47/(1+AUXILIAR!$BJ$7))*AUXILIAR!$BK$7))-(((S47/(1+AUXILIAR!$BJ$7))-((S47/(1+AUXILIAR!$BJ$7))*AUXILIAR!$BK$7))*((AUXILIAR!$BL$7+AUXILIAR!$BM$7)))</f>
        <v>0</v>
      </c>
      <c r="V47" s="103">
        <f>AM47-(AM47/(1+AUXILIAR!$BJ$4))</f>
        <v>0</v>
      </c>
      <c r="W47" s="104">
        <f>(AM47-V47)*AUXILIAR!$BK$4</f>
        <v>0</v>
      </c>
      <c r="X47" s="104">
        <f>(AM47-V47-W47)*(AUXILIAR!$BL$4+AUXILIAR!$BM$4)</f>
        <v>0</v>
      </c>
      <c r="Y47" s="104">
        <f>X47-(X47/(1+AUXILIAR!$BJ$7))</f>
        <v>0</v>
      </c>
      <c r="Z47" s="104">
        <f>(S47-Y47)*AUXILIAR!$BK$7</f>
        <v>0</v>
      </c>
      <c r="AA47" s="104">
        <f>(S47-Y47-Z47)*(AUXILIAR!$BL$7+AUXILIAR!$BM$7)</f>
        <v>0</v>
      </c>
      <c r="AB47" s="105">
        <f t="shared" si="8"/>
        <v>0</v>
      </c>
      <c r="AC47" s="105">
        <f t="shared" si="9"/>
        <v>0</v>
      </c>
      <c r="AD47" s="105">
        <f t="shared" si="10"/>
        <v>0</v>
      </c>
      <c r="AE47" s="105">
        <f t="shared" si="11"/>
        <v>0</v>
      </c>
      <c r="AF47" s="105">
        <f t="shared" si="12"/>
        <v>0</v>
      </c>
      <c r="AG47" s="104">
        <f t="shared" si="13"/>
        <v>0</v>
      </c>
      <c r="AH47" s="102">
        <f t="shared" si="14"/>
        <v>0</v>
      </c>
      <c r="AI47" s="106">
        <f t="shared" si="15"/>
        <v>0</v>
      </c>
      <c r="AJ47" s="102">
        <f t="shared" si="16"/>
        <v>0</v>
      </c>
      <c r="AK47" s="102">
        <f t="shared" si="17"/>
        <v>0</v>
      </c>
      <c r="AL47" s="102">
        <f>AUXILIAR!$BM$12</f>
        <v>1</v>
      </c>
      <c r="AM47" s="102">
        <f>IF($E$2="XADREZ",
     IFERROR(VLOOKUP(G47,AUXILIAR!AB:AC,2,TRUE),0),
     IF(AC44="SIM", 0, IFERROR(VLOOKUP(G47,AUXILIAR!AB:AC,2,TRUE),0))
)</f>
        <v>0</v>
      </c>
      <c r="AN47" s="102">
        <f t="shared" si="18"/>
        <v>0</v>
      </c>
      <c r="AO47" s="102">
        <f t="shared" si="19"/>
        <v>0</v>
      </c>
      <c r="AP47" s="102">
        <f t="shared" si="20"/>
        <v>0</v>
      </c>
      <c r="AQ47" s="102" t="str">
        <f>IFERROR(INDEX(AUXILIAR!$AG$4:$AG$21,MATCH(G47,AUXILIAR!$AH$4:$AH$21,0))*AM47,"-")</f>
        <v>-</v>
      </c>
      <c r="AR47" s="107" t="str">
        <f>IF(R47="GUILHOTINA",IFERROR(VLOOKUP(G47,AUXILIAR!$Q:$S,3,FALSE),""),IF(R47="LASER",IFERROR(VLOOKUP(G47,AUXILIAR!$E:$I,3,FALSE),""),IF(R47="PLASMA",IFERROR(VLOOKUP(G47,AUXILIAR!$K:$O,3,FALSE),""),"")))</f>
        <v/>
      </c>
      <c r="AS47" s="89" t="str">
        <f t="shared" si="21"/>
        <v/>
      </c>
      <c r="AT47" s="89" t="str">
        <f t="shared" si="22"/>
        <v/>
      </c>
      <c r="AU47" s="89" t="str">
        <f t="shared" si="23"/>
        <v/>
      </c>
      <c r="AV47" s="89" t="str">
        <f t="shared" si="24"/>
        <v/>
      </c>
      <c r="AW47" s="89" t="str">
        <f t="shared" si="25"/>
        <v/>
      </c>
      <c r="AY47" s="144">
        <f t="shared" si="1"/>
        <v>0</v>
      </c>
    </row>
    <row r="48" spans="1:51" hidden="1" x14ac:dyDescent="0.35">
      <c r="A48" s="85"/>
      <c r="B48" s="85"/>
      <c r="C48" s="85"/>
      <c r="D48" s="85"/>
      <c r="E48" s="86"/>
      <c r="F48" s="86"/>
      <c r="G48" s="86"/>
      <c r="H48" s="87"/>
      <c r="I48" s="87"/>
      <c r="J48" s="85"/>
      <c r="K48" s="101">
        <v>1200</v>
      </c>
      <c r="L48" s="90" t="str">
        <f t="shared" si="2"/>
        <v/>
      </c>
      <c r="M48" s="91" t="str">
        <f t="shared" si="3"/>
        <v/>
      </c>
      <c r="N48" s="91"/>
      <c r="O48" s="91">
        <f>IF(L48="",0,IFERROR(N48+INDEX(AUXILIAR!$AO$3:$AO$8,MATCH(L48,AUXILIAR!$AP$3:$AP$8,1)),N48))</f>
        <v>0</v>
      </c>
      <c r="P48" s="92">
        <f t="shared" si="5"/>
        <v>0</v>
      </c>
      <c r="Q48" s="92">
        <f t="shared" si="6"/>
        <v>0</v>
      </c>
      <c r="R48" s="92" t="s">
        <v>0</v>
      </c>
      <c r="S48" s="88">
        <f t="shared" si="7"/>
        <v>0</v>
      </c>
      <c r="T48" s="102">
        <f>((AM48/(1+AUXILIAR!$BJ$4))-((AM48/(1+AUXILIAR!$BJ$4))*AUXILIAR!$BK$4))-(((AM48/(1+AUXILIAR!$BJ$4))-((AM48/(1+AUXILIAR!$BJ$4))*AUXILIAR!$BK$4))*((AUXILIAR!$BL$4+AUXILIAR!$BM$4)))</f>
        <v>0</v>
      </c>
      <c r="U48" s="102">
        <f>((S48/(1+AUXILIAR!$BJ$7))-((S48/(1+AUXILIAR!$BJ$7))*AUXILIAR!$BK$7))-(((S48/(1+AUXILIAR!$BJ$7))-((S48/(1+AUXILIAR!$BJ$7))*AUXILIAR!$BK$7))*((AUXILIAR!$BL$7+AUXILIAR!$BM$7)))</f>
        <v>0</v>
      </c>
      <c r="V48" s="103">
        <f>AM48-(AM48/(1+AUXILIAR!$BJ$4))</f>
        <v>0</v>
      </c>
      <c r="W48" s="104">
        <f>(AM48-V48)*AUXILIAR!$BK$4</f>
        <v>0</v>
      </c>
      <c r="X48" s="104">
        <f>(AM48-V48-W48)*(AUXILIAR!$BL$4+AUXILIAR!$BM$4)</f>
        <v>0</v>
      </c>
      <c r="Y48" s="104">
        <f>X48-(X48/(1+AUXILIAR!$BJ$7))</f>
        <v>0</v>
      </c>
      <c r="Z48" s="104">
        <f>(S48-Y48)*AUXILIAR!$BK$7</f>
        <v>0</v>
      </c>
      <c r="AA48" s="104">
        <f>(S48-Y48-Z48)*(AUXILIAR!$BL$7+AUXILIAR!$BM$7)</f>
        <v>0</v>
      </c>
      <c r="AB48" s="105">
        <f t="shared" si="8"/>
        <v>0</v>
      </c>
      <c r="AC48" s="105">
        <f t="shared" si="9"/>
        <v>0</v>
      </c>
      <c r="AD48" s="105">
        <f t="shared" si="10"/>
        <v>0</v>
      </c>
      <c r="AE48" s="105">
        <f t="shared" si="11"/>
        <v>0</v>
      </c>
      <c r="AF48" s="105">
        <f t="shared" si="12"/>
        <v>0</v>
      </c>
      <c r="AG48" s="104">
        <f t="shared" si="13"/>
        <v>0</v>
      </c>
      <c r="AH48" s="102">
        <f t="shared" si="14"/>
        <v>0</v>
      </c>
      <c r="AI48" s="106">
        <f t="shared" si="15"/>
        <v>0</v>
      </c>
      <c r="AJ48" s="102">
        <f t="shared" si="16"/>
        <v>0</v>
      </c>
      <c r="AK48" s="102">
        <f t="shared" si="17"/>
        <v>0</v>
      </c>
      <c r="AL48" s="102">
        <f>AUXILIAR!$BM$12</f>
        <v>1</v>
      </c>
      <c r="AM48" s="102">
        <f>IF($E$2="XADREZ",
     IFERROR(VLOOKUP(G48,AUXILIAR!AB:AC,2,TRUE),0),
     IF(AC45="SIM", 0, IFERROR(VLOOKUP(G48,AUXILIAR!AB:AC,2,TRUE),0))
)</f>
        <v>0</v>
      </c>
      <c r="AN48" s="102">
        <f t="shared" si="18"/>
        <v>0</v>
      </c>
      <c r="AO48" s="102">
        <f t="shared" si="19"/>
        <v>0</v>
      </c>
      <c r="AP48" s="102">
        <f t="shared" si="20"/>
        <v>0</v>
      </c>
      <c r="AQ48" s="102" t="str">
        <f>IFERROR(INDEX(AUXILIAR!$AG$4:$AG$21,MATCH(G48,AUXILIAR!$AH$4:$AH$21,0))*AM48,"-")</f>
        <v>-</v>
      </c>
      <c r="AR48" s="107" t="str">
        <f>IF(R48="GUILHOTINA",IFERROR(VLOOKUP(G48,AUXILIAR!$Q:$S,3,FALSE),""),IF(R48="LASER",IFERROR(VLOOKUP(G48,AUXILIAR!$E:$I,3,FALSE),""),IF(R48="PLASMA",IFERROR(VLOOKUP(G48,AUXILIAR!$K:$O,3,FALSE),""),"")))</f>
        <v/>
      </c>
      <c r="AS48" s="89" t="str">
        <f t="shared" si="21"/>
        <v/>
      </c>
      <c r="AT48" s="89" t="str">
        <f t="shared" si="22"/>
        <v/>
      </c>
      <c r="AU48" s="89" t="str">
        <f t="shared" si="23"/>
        <v/>
      </c>
      <c r="AV48" s="89" t="str">
        <f t="shared" si="24"/>
        <v/>
      </c>
      <c r="AW48" s="89" t="str">
        <f t="shared" si="25"/>
        <v/>
      </c>
      <c r="AY48" s="144">
        <f t="shared" si="1"/>
        <v>0</v>
      </c>
    </row>
    <row r="49" spans="1:58" hidden="1" x14ac:dyDescent="0.35">
      <c r="A49" s="85"/>
      <c r="B49" s="85"/>
      <c r="C49" s="85"/>
      <c r="D49" s="85"/>
      <c r="E49" s="86"/>
      <c r="F49" s="86"/>
      <c r="G49" s="86"/>
      <c r="H49" s="87"/>
      <c r="I49" s="87"/>
      <c r="J49" s="85"/>
      <c r="K49" s="101">
        <v>1200</v>
      </c>
      <c r="L49" s="90" t="str">
        <f t="shared" si="2"/>
        <v/>
      </c>
      <c r="M49" s="91" t="str">
        <f t="shared" si="3"/>
        <v/>
      </c>
      <c r="N49" s="91"/>
      <c r="O49" s="91">
        <f>IF(L49="",0,IFERROR(N49+INDEX(AUXILIAR!$AO$3:$AO$8,MATCH(L49,AUXILIAR!$AP$3:$AP$8,1)),N49))</f>
        <v>0</v>
      </c>
      <c r="P49" s="92">
        <f t="shared" si="5"/>
        <v>0</v>
      </c>
      <c r="Q49" s="92">
        <f t="shared" si="6"/>
        <v>0</v>
      </c>
      <c r="R49" s="92" t="s">
        <v>0</v>
      </c>
      <c r="S49" s="88">
        <f t="shared" si="7"/>
        <v>0</v>
      </c>
      <c r="T49" s="102">
        <f>((AM49/(1+AUXILIAR!$BJ$4))-((AM49/(1+AUXILIAR!$BJ$4))*AUXILIAR!$BK$4))-(((AM49/(1+AUXILIAR!$BJ$4))-((AM49/(1+AUXILIAR!$BJ$4))*AUXILIAR!$BK$4))*((AUXILIAR!$BL$4+AUXILIAR!$BM$4)))</f>
        <v>0</v>
      </c>
      <c r="U49" s="102">
        <f>((S49/(1+AUXILIAR!$BJ$7))-((S49/(1+AUXILIAR!$BJ$7))*AUXILIAR!$BK$7))-(((S49/(1+AUXILIAR!$BJ$7))-((S49/(1+AUXILIAR!$BJ$7))*AUXILIAR!$BK$7))*((AUXILIAR!$BL$7+AUXILIAR!$BM$7)))</f>
        <v>0</v>
      </c>
      <c r="V49" s="103">
        <f>AM49-(AM49/(1+AUXILIAR!$BJ$4))</f>
        <v>0</v>
      </c>
      <c r="W49" s="104">
        <f>(AM49-V49)*AUXILIAR!$BK$4</f>
        <v>0</v>
      </c>
      <c r="X49" s="104">
        <f>(AM49-V49-W49)*(AUXILIAR!$BL$4+AUXILIAR!$BM$4)</f>
        <v>0</v>
      </c>
      <c r="Y49" s="104">
        <f>X49-(X49/(1+AUXILIAR!$BJ$7))</f>
        <v>0</v>
      </c>
      <c r="Z49" s="104">
        <f>(S49-Y49)*AUXILIAR!$BK$7</f>
        <v>0</v>
      </c>
      <c r="AA49" s="104">
        <f>(S49-Y49-Z49)*(AUXILIAR!$BL$7+AUXILIAR!$BM$7)</f>
        <v>0</v>
      </c>
      <c r="AB49" s="105">
        <f t="shared" si="8"/>
        <v>0</v>
      </c>
      <c r="AC49" s="105">
        <f t="shared" si="9"/>
        <v>0</v>
      </c>
      <c r="AD49" s="105">
        <f t="shared" si="10"/>
        <v>0</v>
      </c>
      <c r="AE49" s="105">
        <f t="shared" si="11"/>
        <v>0</v>
      </c>
      <c r="AF49" s="105">
        <f t="shared" si="12"/>
        <v>0</v>
      </c>
      <c r="AG49" s="104">
        <f t="shared" si="13"/>
        <v>0</v>
      </c>
      <c r="AH49" s="102">
        <f t="shared" si="14"/>
        <v>0</v>
      </c>
      <c r="AI49" s="106">
        <f t="shared" si="15"/>
        <v>0</v>
      </c>
      <c r="AJ49" s="102">
        <f t="shared" si="16"/>
        <v>0</v>
      </c>
      <c r="AK49" s="102">
        <f t="shared" si="17"/>
        <v>0</v>
      </c>
      <c r="AL49" s="102">
        <f>AUXILIAR!$BM$12</f>
        <v>1</v>
      </c>
      <c r="AM49" s="102">
        <f>IF($E$2="XADREZ",
     IFERROR(VLOOKUP(G49,AUXILIAR!AB:AC,2,TRUE),0),
     IF(AC46="SIM", 0, IFERROR(VLOOKUP(G49,AUXILIAR!AB:AC,2,TRUE),0))
)</f>
        <v>0</v>
      </c>
      <c r="AN49" s="102">
        <f t="shared" si="18"/>
        <v>0</v>
      </c>
      <c r="AO49" s="102">
        <f t="shared" si="19"/>
        <v>0</v>
      </c>
      <c r="AP49" s="102">
        <f t="shared" si="20"/>
        <v>0</v>
      </c>
      <c r="AQ49" s="102" t="str">
        <f>IFERROR(INDEX(AUXILIAR!$AG$4:$AG$21,MATCH(G49,AUXILIAR!$AH$4:$AH$21,0))*AM49,"-")</f>
        <v>-</v>
      </c>
      <c r="AR49" s="107" t="str">
        <f>IF(R49="GUILHOTINA",IFERROR(VLOOKUP(G49,AUXILIAR!$Q:$S,3,FALSE),""),IF(R49="LASER",IFERROR(VLOOKUP(G49,AUXILIAR!$E:$I,3,FALSE),""),IF(R49="PLASMA",IFERROR(VLOOKUP(G49,AUXILIAR!$K:$O,3,FALSE),""),"")))</f>
        <v/>
      </c>
      <c r="AS49" s="89" t="str">
        <f t="shared" si="21"/>
        <v/>
      </c>
      <c r="AT49" s="89" t="str">
        <f t="shared" si="22"/>
        <v/>
      </c>
      <c r="AU49" s="89" t="str">
        <f t="shared" si="23"/>
        <v/>
      </c>
      <c r="AV49" s="89" t="str">
        <f t="shared" si="24"/>
        <v/>
      </c>
      <c r="AW49" s="89" t="str">
        <f t="shared" si="25"/>
        <v/>
      </c>
      <c r="AY49" s="144">
        <f t="shared" si="1"/>
        <v>0</v>
      </c>
    </row>
    <row r="50" spans="1:58" hidden="1" x14ac:dyDescent="0.35">
      <c r="A50" s="85"/>
      <c r="B50" s="85"/>
      <c r="C50" s="85"/>
      <c r="D50" s="85"/>
      <c r="E50" s="86"/>
      <c r="F50" s="86"/>
      <c r="G50" s="86"/>
      <c r="H50" s="87"/>
      <c r="I50" s="87"/>
      <c r="J50" s="85"/>
      <c r="K50" s="101">
        <v>1200</v>
      </c>
      <c r="L50" s="90" t="str">
        <f t="shared" si="2"/>
        <v/>
      </c>
      <c r="M50" s="91" t="str">
        <f t="shared" si="3"/>
        <v/>
      </c>
      <c r="N50" s="91"/>
      <c r="O50" s="91">
        <f>IF(L50="",0,IFERROR(N50+INDEX(AUXILIAR!$AO$3:$AO$8,MATCH(L50,AUXILIAR!$AP$3:$AP$8,1)),N50))</f>
        <v>0</v>
      </c>
      <c r="P50" s="92">
        <f t="shared" si="5"/>
        <v>0</v>
      </c>
      <c r="Q50" s="92">
        <f t="shared" si="6"/>
        <v>0</v>
      </c>
      <c r="R50" s="92" t="s">
        <v>0</v>
      </c>
      <c r="S50" s="88">
        <f t="shared" si="7"/>
        <v>0</v>
      </c>
      <c r="T50" s="102">
        <f>((AM50/(1+AUXILIAR!$BJ$4))-((AM50/(1+AUXILIAR!$BJ$4))*AUXILIAR!$BK$4))-(((AM50/(1+AUXILIAR!$BJ$4))-((AM50/(1+AUXILIAR!$BJ$4))*AUXILIAR!$BK$4))*((AUXILIAR!$BL$4+AUXILIAR!$BM$4)))</f>
        <v>0</v>
      </c>
      <c r="U50" s="102">
        <f>((S50/(1+AUXILIAR!$BJ$7))-((S50/(1+AUXILIAR!$BJ$7))*AUXILIAR!$BK$7))-(((S50/(1+AUXILIAR!$BJ$7))-((S50/(1+AUXILIAR!$BJ$7))*AUXILIAR!$BK$7))*((AUXILIAR!$BL$7+AUXILIAR!$BM$7)))</f>
        <v>0</v>
      </c>
      <c r="V50" s="103">
        <f>AM50-(AM50/(1+AUXILIAR!$BJ$4))</f>
        <v>0</v>
      </c>
      <c r="W50" s="104">
        <f>(AM50-V50)*AUXILIAR!$BK$4</f>
        <v>0</v>
      </c>
      <c r="X50" s="104">
        <f>(AM50-V50-W50)*(AUXILIAR!$BL$4+AUXILIAR!$BM$4)</f>
        <v>0</v>
      </c>
      <c r="Y50" s="104">
        <f>X50-(X50/(1+AUXILIAR!$BJ$7))</f>
        <v>0</v>
      </c>
      <c r="Z50" s="104">
        <f>(S50-Y50)*AUXILIAR!$BK$7</f>
        <v>0</v>
      </c>
      <c r="AA50" s="104">
        <f>(S50-Y50-Z50)*(AUXILIAR!$BL$7+AUXILIAR!$BM$7)</f>
        <v>0</v>
      </c>
      <c r="AB50" s="105">
        <f t="shared" si="8"/>
        <v>0</v>
      </c>
      <c r="AC50" s="105">
        <f t="shared" si="9"/>
        <v>0</v>
      </c>
      <c r="AD50" s="105">
        <f t="shared" si="10"/>
        <v>0</v>
      </c>
      <c r="AE50" s="105">
        <f t="shared" si="11"/>
        <v>0</v>
      </c>
      <c r="AF50" s="105">
        <f t="shared" si="12"/>
        <v>0</v>
      </c>
      <c r="AG50" s="104">
        <f t="shared" si="13"/>
        <v>0</v>
      </c>
      <c r="AH50" s="102">
        <f t="shared" si="14"/>
        <v>0</v>
      </c>
      <c r="AI50" s="106">
        <f t="shared" si="15"/>
        <v>0</v>
      </c>
      <c r="AJ50" s="102">
        <f t="shared" si="16"/>
        <v>0</v>
      </c>
      <c r="AK50" s="102">
        <f t="shared" si="17"/>
        <v>0</v>
      </c>
      <c r="AL50" s="102">
        <f>AUXILIAR!$BM$12</f>
        <v>1</v>
      </c>
      <c r="AM50" s="102">
        <f>IF($E$2="XADREZ",
     IFERROR(VLOOKUP(G50,AUXILIAR!AB:AC,2,TRUE),0),
     IF(AC47="SIM", 0, IFERROR(VLOOKUP(G50,AUXILIAR!AB:AC,2,TRUE),0))
)</f>
        <v>0</v>
      </c>
      <c r="AN50" s="102">
        <f t="shared" si="18"/>
        <v>0</v>
      </c>
      <c r="AO50" s="102">
        <f t="shared" si="19"/>
        <v>0</v>
      </c>
      <c r="AP50" s="102">
        <f t="shared" si="20"/>
        <v>0</v>
      </c>
      <c r="AQ50" s="102" t="str">
        <f>IFERROR(INDEX(AUXILIAR!$AG$4:$AG$21,MATCH(G50,AUXILIAR!$AH$4:$AH$21,0))*AM50,"-")</f>
        <v>-</v>
      </c>
      <c r="AR50" s="107" t="str">
        <f>IF(R50="GUILHOTINA",IFERROR(VLOOKUP(G50,AUXILIAR!$Q:$S,3,FALSE),""),IF(R50="LASER",IFERROR(VLOOKUP(G50,AUXILIAR!$E:$I,3,FALSE),""),IF(R50="PLASMA",IFERROR(VLOOKUP(G50,AUXILIAR!$K:$O,3,FALSE),""),"")))</f>
        <v/>
      </c>
      <c r="AS50" s="89" t="str">
        <f t="shared" si="21"/>
        <v/>
      </c>
      <c r="AT50" s="89" t="str">
        <f t="shared" si="22"/>
        <v/>
      </c>
      <c r="AU50" s="89" t="str">
        <f t="shared" si="23"/>
        <v/>
      </c>
      <c r="AV50" s="89" t="str">
        <f t="shared" si="24"/>
        <v/>
      </c>
      <c r="AW50" s="89" t="str">
        <f t="shared" si="25"/>
        <v/>
      </c>
      <c r="AY50" s="144">
        <f t="shared" si="1"/>
        <v>0</v>
      </c>
    </row>
    <row r="51" spans="1:58" hidden="1" x14ac:dyDescent="0.35">
      <c r="A51" s="85"/>
      <c r="B51" s="85"/>
      <c r="C51" s="85"/>
      <c r="D51" s="85"/>
      <c r="E51" s="86"/>
      <c r="F51" s="86"/>
      <c r="G51" s="86"/>
      <c r="H51" s="87"/>
      <c r="I51" s="87"/>
      <c r="J51" s="85"/>
      <c r="K51" s="101">
        <v>1200</v>
      </c>
      <c r="L51" s="90" t="str">
        <f t="shared" si="2"/>
        <v/>
      </c>
      <c r="M51" s="91" t="str">
        <f t="shared" si="3"/>
        <v/>
      </c>
      <c r="N51" s="91"/>
      <c r="O51" s="91">
        <f>IF(L51="",0,IFERROR(N51+INDEX(AUXILIAR!$AO$3:$AO$8,MATCH(L51,AUXILIAR!$AP$3:$AP$8,1)),N51))</f>
        <v>0</v>
      </c>
      <c r="P51" s="92">
        <f t="shared" si="5"/>
        <v>0</v>
      </c>
      <c r="Q51" s="92">
        <f t="shared" si="6"/>
        <v>0</v>
      </c>
      <c r="R51" s="92" t="s">
        <v>0</v>
      </c>
      <c r="S51" s="88">
        <f t="shared" si="7"/>
        <v>0</v>
      </c>
      <c r="T51" s="102">
        <f>((AM51/(1+AUXILIAR!$BJ$4))-((AM51/(1+AUXILIAR!$BJ$4))*AUXILIAR!$BK$4))-(((AM51/(1+AUXILIAR!$BJ$4))-((AM51/(1+AUXILIAR!$BJ$4))*AUXILIAR!$BK$4))*((AUXILIAR!$BL$4+AUXILIAR!$BM$4)))</f>
        <v>0</v>
      </c>
      <c r="U51" s="102">
        <f>((S51/(1+AUXILIAR!$BJ$7))-((S51/(1+AUXILIAR!$BJ$7))*AUXILIAR!$BK$7))-(((S51/(1+AUXILIAR!$BJ$7))-((S51/(1+AUXILIAR!$BJ$7))*AUXILIAR!$BK$7))*((AUXILIAR!$BL$7+AUXILIAR!$BM$7)))</f>
        <v>0</v>
      </c>
      <c r="V51" s="103">
        <f>AM51-(AM51/(1+AUXILIAR!$BJ$4))</f>
        <v>0</v>
      </c>
      <c r="W51" s="104">
        <f>(AM51-V51)*AUXILIAR!$BK$4</f>
        <v>0</v>
      </c>
      <c r="X51" s="104">
        <f>(AM51-V51-W51)*(AUXILIAR!$BL$4+AUXILIAR!$BM$4)</f>
        <v>0</v>
      </c>
      <c r="Y51" s="104">
        <f>X51-(X51/(1+AUXILIAR!$BJ$7))</f>
        <v>0</v>
      </c>
      <c r="Z51" s="104">
        <f>(S51-Y51)*AUXILIAR!$BK$7</f>
        <v>0</v>
      </c>
      <c r="AA51" s="104">
        <f>(S51-Y51-Z51)*(AUXILIAR!$BL$7+AUXILIAR!$BM$7)</f>
        <v>0</v>
      </c>
      <c r="AB51" s="105">
        <f t="shared" si="8"/>
        <v>0</v>
      </c>
      <c r="AC51" s="105">
        <f t="shared" si="9"/>
        <v>0</v>
      </c>
      <c r="AD51" s="105">
        <f t="shared" si="10"/>
        <v>0</v>
      </c>
      <c r="AE51" s="105">
        <f t="shared" si="11"/>
        <v>0</v>
      </c>
      <c r="AF51" s="105">
        <f t="shared" si="12"/>
        <v>0</v>
      </c>
      <c r="AG51" s="104">
        <f t="shared" si="13"/>
        <v>0</v>
      </c>
      <c r="AH51" s="102">
        <f t="shared" si="14"/>
        <v>0</v>
      </c>
      <c r="AI51" s="106">
        <f t="shared" si="15"/>
        <v>0</v>
      </c>
      <c r="AJ51" s="102">
        <f t="shared" si="16"/>
        <v>0</v>
      </c>
      <c r="AK51" s="102">
        <f t="shared" si="17"/>
        <v>0</v>
      </c>
      <c r="AL51" s="102">
        <f>AUXILIAR!$BM$12</f>
        <v>1</v>
      </c>
      <c r="AM51" s="102">
        <f>IF($E$2="XADREZ",
     IFERROR(VLOOKUP(G51,AUXILIAR!AB:AC,2,TRUE),0),
     IF(AC48="SIM", 0, IFERROR(VLOOKUP(G51,AUXILIAR!AB:AC,2,TRUE),0))
)</f>
        <v>0</v>
      </c>
      <c r="AN51" s="102">
        <f t="shared" si="18"/>
        <v>0</v>
      </c>
      <c r="AO51" s="102">
        <f t="shared" si="19"/>
        <v>0</v>
      </c>
      <c r="AP51" s="102">
        <f t="shared" si="20"/>
        <v>0</v>
      </c>
      <c r="AQ51" s="102" t="str">
        <f>IFERROR(INDEX(AUXILIAR!$AG$4:$AG$21,MATCH(G51,AUXILIAR!$AH$4:$AH$21,0))*AM51,"-")</f>
        <v>-</v>
      </c>
      <c r="AR51" s="107" t="str">
        <f>IF(R51="GUILHOTINA",IFERROR(VLOOKUP(G51,AUXILIAR!$Q:$S,3,FALSE),""),IF(R51="LASER",IFERROR(VLOOKUP(G51,AUXILIAR!$E:$I,3,FALSE),""),IF(R51="PLASMA",IFERROR(VLOOKUP(G51,AUXILIAR!$K:$O,3,FALSE),""),"")))</f>
        <v/>
      </c>
      <c r="AS51" s="89" t="str">
        <f t="shared" si="21"/>
        <v/>
      </c>
      <c r="AT51" s="89" t="str">
        <f t="shared" si="22"/>
        <v/>
      </c>
      <c r="AU51" s="89" t="str">
        <f t="shared" si="23"/>
        <v/>
      </c>
      <c r="AV51" s="89" t="str">
        <f t="shared" si="24"/>
        <v/>
      </c>
      <c r="AW51" s="89" t="str">
        <f t="shared" si="25"/>
        <v/>
      </c>
      <c r="AY51" s="144">
        <f t="shared" si="1"/>
        <v>0</v>
      </c>
    </row>
    <row r="52" spans="1:58" hidden="1" x14ac:dyDescent="0.35">
      <c r="A52" s="85"/>
      <c r="B52" s="85"/>
      <c r="C52" s="85"/>
      <c r="D52" s="85"/>
      <c r="E52" s="86"/>
      <c r="F52" s="86"/>
      <c r="G52" s="86"/>
      <c r="H52" s="87"/>
      <c r="I52" s="87"/>
      <c r="J52" s="85"/>
      <c r="K52" s="101">
        <v>1200</v>
      </c>
      <c r="L52" s="90" t="str">
        <f t="shared" si="2"/>
        <v/>
      </c>
      <c r="M52" s="91" t="str">
        <f t="shared" si="3"/>
        <v/>
      </c>
      <c r="N52" s="91"/>
      <c r="O52" s="91">
        <f>IF(L52="",0,IFERROR(N52+INDEX(AUXILIAR!$AO$3:$AO$8,MATCH(L52,AUXILIAR!$AP$3:$AP$8,1)),N52))</f>
        <v>0</v>
      </c>
      <c r="P52" s="92">
        <f t="shared" si="5"/>
        <v>0</v>
      </c>
      <c r="Q52" s="92">
        <f t="shared" si="6"/>
        <v>0</v>
      </c>
      <c r="R52" s="92" t="s">
        <v>0</v>
      </c>
      <c r="S52" s="88">
        <f t="shared" si="7"/>
        <v>0</v>
      </c>
      <c r="T52" s="102">
        <f>((AM52/(1+AUXILIAR!$BJ$4))-((AM52/(1+AUXILIAR!$BJ$4))*AUXILIAR!$BK$4))-(((AM52/(1+AUXILIAR!$BJ$4))-((AM52/(1+AUXILIAR!$BJ$4))*AUXILIAR!$BK$4))*((AUXILIAR!$BL$4+AUXILIAR!$BM$4)))</f>
        <v>0</v>
      </c>
      <c r="U52" s="102">
        <f>((S52/(1+AUXILIAR!$BJ$7))-((S52/(1+AUXILIAR!$BJ$7))*AUXILIAR!$BK$7))-(((S52/(1+AUXILIAR!$BJ$7))-((S52/(1+AUXILIAR!$BJ$7))*AUXILIAR!$BK$7))*((AUXILIAR!$BL$7+AUXILIAR!$BM$7)))</f>
        <v>0</v>
      </c>
      <c r="V52" s="103">
        <f>AM52-(AM52/(1+AUXILIAR!$BJ$4))</f>
        <v>0</v>
      </c>
      <c r="W52" s="104">
        <f>(AM52-V52)*AUXILIAR!$BK$4</f>
        <v>0</v>
      </c>
      <c r="X52" s="104">
        <f>(AM52-V52-W52)*(AUXILIAR!$BL$4+AUXILIAR!$BM$4)</f>
        <v>0</v>
      </c>
      <c r="Y52" s="104">
        <f>X52-(X52/(1+AUXILIAR!$BJ$7))</f>
        <v>0</v>
      </c>
      <c r="Z52" s="104">
        <f>(S52-Y52)*AUXILIAR!$BK$7</f>
        <v>0</v>
      </c>
      <c r="AA52" s="104">
        <f>(S52-Y52-Z52)*(AUXILIAR!$BL$7+AUXILIAR!$BM$7)</f>
        <v>0</v>
      </c>
      <c r="AB52" s="105">
        <f t="shared" si="8"/>
        <v>0</v>
      </c>
      <c r="AC52" s="105">
        <f t="shared" si="9"/>
        <v>0</v>
      </c>
      <c r="AD52" s="105">
        <f t="shared" si="10"/>
        <v>0</v>
      </c>
      <c r="AE52" s="105">
        <f t="shared" si="11"/>
        <v>0</v>
      </c>
      <c r="AF52" s="105">
        <f t="shared" si="12"/>
        <v>0</v>
      </c>
      <c r="AG52" s="104">
        <f t="shared" si="13"/>
        <v>0</v>
      </c>
      <c r="AH52" s="102">
        <f t="shared" si="14"/>
        <v>0</v>
      </c>
      <c r="AI52" s="106">
        <f t="shared" si="15"/>
        <v>0</v>
      </c>
      <c r="AJ52" s="102">
        <f t="shared" si="16"/>
        <v>0</v>
      </c>
      <c r="AK52" s="102">
        <f t="shared" si="17"/>
        <v>0</v>
      </c>
      <c r="AL52" s="102">
        <f>AUXILIAR!$BM$12</f>
        <v>1</v>
      </c>
      <c r="AM52" s="102">
        <f>IF($E$2="XADREZ",
     IFERROR(VLOOKUP(G52,AUXILIAR!AB:AC,2,TRUE),0),
     IF(AC49="SIM", 0, IFERROR(VLOOKUP(G52,AUXILIAR!AB:AC,2,TRUE),0))
)</f>
        <v>0</v>
      </c>
      <c r="AN52" s="102">
        <f t="shared" si="18"/>
        <v>0</v>
      </c>
      <c r="AO52" s="102">
        <f t="shared" si="19"/>
        <v>0</v>
      </c>
      <c r="AP52" s="102">
        <f t="shared" si="20"/>
        <v>0</v>
      </c>
      <c r="AQ52" s="102" t="str">
        <f>IFERROR(INDEX(AUXILIAR!$AG$4:$AG$21,MATCH(G52,AUXILIAR!$AH$4:$AH$21,0))*AM52,"-")</f>
        <v>-</v>
      </c>
      <c r="AR52" s="107" t="str">
        <f>IF(R52="GUILHOTINA",IFERROR(VLOOKUP(G52,AUXILIAR!$Q:$S,3,FALSE),""),IF(R52="LASER",IFERROR(VLOOKUP(G52,AUXILIAR!$E:$I,3,FALSE),""),IF(R52="PLASMA",IFERROR(VLOOKUP(G52,AUXILIAR!$K:$O,3,FALSE),""),"")))</f>
        <v/>
      </c>
      <c r="AS52" s="89" t="str">
        <f t="shared" si="21"/>
        <v/>
      </c>
      <c r="AT52" s="89" t="str">
        <f t="shared" si="22"/>
        <v/>
      </c>
      <c r="AU52" s="89" t="str">
        <f t="shared" si="23"/>
        <v/>
      </c>
      <c r="AV52" s="89" t="str">
        <f t="shared" si="24"/>
        <v/>
      </c>
      <c r="AW52" s="89" t="str">
        <f t="shared" si="25"/>
        <v/>
      </c>
      <c r="AY52" s="144">
        <f t="shared" si="1"/>
        <v>0</v>
      </c>
    </row>
    <row r="53" spans="1:58" hidden="1" x14ac:dyDescent="0.35">
      <c r="A53" s="85"/>
      <c r="B53" s="85"/>
      <c r="C53" s="85"/>
      <c r="D53" s="85"/>
      <c r="E53" s="86"/>
      <c r="F53" s="86"/>
      <c r="G53" s="86"/>
      <c r="H53" s="87"/>
      <c r="I53" s="87"/>
      <c r="J53" s="85"/>
      <c r="K53" s="101">
        <v>1200</v>
      </c>
      <c r="L53" s="90" t="str">
        <f t="shared" si="2"/>
        <v/>
      </c>
      <c r="M53" s="91" t="str">
        <f t="shared" si="3"/>
        <v/>
      </c>
      <c r="N53" s="91"/>
      <c r="O53" s="91">
        <f>IF(L53="",0,IFERROR(N53+INDEX(AUXILIAR!$AO$3:$AO$8,MATCH(L53,AUXILIAR!$AP$3:$AP$8,1)),N53))</f>
        <v>0</v>
      </c>
      <c r="P53" s="92">
        <f t="shared" si="5"/>
        <v>0</v>
      </c>
      <c r="Q53" s="92">
        <f t="shared" si="6"/>
        <v>0</v>
      </c>
      <c r="R53" s="92" t="s">
        <v>0</v>
      </c>
      <c r="S53" s="88">
        <f t="shared" si="7"/>
        <v>0</v>
      </c>
      <c r="T53" s="102">
        <f>((AM53/(1+AUXILIAR!$BJ$4))-((AM53/(1+AUXILIAR!$BJ$4))*AUXILIAR!$BK$4))-(((AM53/(1+AUXILIAR!$BJ$4))-((AM53/(1+AUXILIAR!$BJ$4))*AUXILIAR!$BK$4))*((AUXILIAR!$BL$4+AUXILIAR!$BM$4)))</f>
        <v>0</v>
      </c>
      <c r="U53" s="102">
        <f>((S53/(1+AUXILIAR!$BJ$7))-((S53/(1+AUXILIAR!$BJ$7))*AUXILIAR!$BK$7))-(((S53/(1+AUXILIAR!$BJ$7))-((S53/(1+AUXILIAR!$BJ$7))*AUXILIAR!$BK$7))*((AUXILIAR!$BL$7+AUXILIAR!$BM$7)))</f>
        <v>0</v>
      </c>
      <c r="V53" s="103">
        <f>AM53-(AM53/(1+AUXILIAR!$BJ$4))</f>
        <v>0</v>
      </c>
      <c r="W53" s="104">
        <f>(AM53-V53)*AUXILIAR!$BK$4</f>
        <v>0</v>
      </c>
      <c r="X53" s="104">
        <f>(AM53-V53-W53)*(AUXILIAR!$BL$4+AUXILIAR!$BM$4)</f>
        <v>0</v>
      </c>
      <c r="Y53" s="104">
        <f>X53-(X53/(1+AUXILIAR!$BJ$7))</f>
        <v>0</v>
      </c>
      <c r="Z53" s="104">
        <f>(S53-Y53)*AUXILIAR!$BK$7</f>
        <v>0</v>
      </c>
      <c r="AA53" s="104">
        <f>(S53-Y53-Z53)*(AUXILIAR!$BL$7+AUXILIAR!$BM$7)</f>
        <v>0</v>
      </c>
      <c r="AB53" s="105">
        <f t="shared" si="8"/>
        <v>0</v>
      </c>
      <c r="AC53" s="105">
        <f t="shared" si="9"/>
        <v>0</v>
      </c>
      <c r="AD53" s="105">
        <f t="shared" si="10"/>
        <v>0</v>
      </c>
      <c r="AE53" s="105">
        <f t="shared" si="11"/>
        <v>0</v>
      </c>
      <c r="AF53" s="105">
        <f t="shared" si="12"/>
        <v>0</v>
      </c>
      <c r="AG53" s="104">
        <f t="shared" si="13"/>
        <v>0</v>
      </c>
      <c r="AH53" s="102">
        <f t="shared" si="14"/>
        <v>0</v>
      </c>
      <c r="AI53" s="106">
        <f t="shared" si="15"/>
        <v>0</v>
      </c>
      <c r="AJ53" s="102">
        <f t="shared" si="16"/>
        <v>0</v>
      </c>
      <c r="AK53" s="102">
        <f t="shared" si="17"/>
        <v>0</v>
      </c>
      <c r="AL53" s="102">
        <f>AUXILIAR!$BM$12</f>
        <v>1</v>
      </c>
      <c r="AM53" s="102">
        <f>IF($E$2="XADREZ",
     IFERROR(VLOOKUP(G53,AUXILIAR!AB:AC,2,TRUE),0),
     IF(AC50="SIM", 0, IFERROR(VLOOKUP(G53,AUXILIAR!AB:AC,2,TRUE),0))
)</f>
        <v>0</v>
      </c>
      <c r="AN53" s="102">
        <f t="shared" si="18"/>
        <v>0</v>
      </c>
      <c r="AO53" s="102">
        <f t="shared" si="19"/>
        <v>0</v>
      </c>
      <c r="AP53" s="102">
        <f t="shared" si="20"/>
        <v>0</v>
      </c>
      <c r="AQ53" s="102" t="str">
        <f>IFERROR(INDEX(AUXILIAR!$AG$4:$AG$21,MATCH(G53,AUXILIAR!$AH$4:$AH$21,0))*AM53,"-")</f>
        <v>-</v>
      </c>
      <c r="AR53" s="107" t="str">
        <f>IF(R53="GUILHOTINA",IFERROR(VLOOKUP(G53,AUXILIAR!$Q:$S,3,FALSE),""),IF(R53="LASER",IFERROR(VLOOKUP(G53,AUXILIAR!$E:$I,3,FALSE),""),IF(R53="PLASMA",IFERROR(VLOOKUP(G53,AUXILIAR!$K:$O,3,FALSE),""),"")))</f>
        <v/>
      </c>
      <c r="AS53" s="89" t="str">
        <f t="shared" si="21"/>
        <v/>
      </c>
      <c r="AT53" s="89" t="str">
        <f t="shared" si="22"/>
        <v/>
      </c>
      <c r="AU53" s="89" t="str">
        <f t="shared" si="23"/>
        <v/>
      </c>
      <c r="AV53" s="89" t="str">
        <f t="shared" si="24"/>
        <v/>
      </c>
      <c r="AW53" s="89" t="str">
        <f t="shared" si="25"/>
        <v/>
      </c>
      <c r="AY53" s="144">
        <f t="shared" si="1"/>
        <v>0</v>
      </c>
    </row>
    <row r="54" spans="1:58" hidden="1" x14ac:dyDescent="0.35">
      <c r="A54" s="85"/>
      <c r="B54" s="85"/>
      <c r="C54" s="85"/>
      <c r="D54" s="85"/>
      <c r="E54" s="86"/>
      <c r="F54" s="86"/>
      <c r="G54" s="86"/>
      <c r="H54" s="87"/>
      <c r="I54" s="87"/>
      <c r="J54" s="85"/>
      <c r="K54" s="101">
        <v>1200</v>
      </c>
      <c r="L54" s="90" t="str">
        <f t="shared" si="2"/>
        <v/>
      </c>
      <c r="M54" s="91" t="str">
        <f t="shared" si="3"/>
        <v/>
      </c>
      <c r="N54" s="91"/>
      <c r="O54" s="91">
        <f>IF(L54="",0,IFERROR(N54+INDEX(AUXILIAR!$AO$3:$AO$8,MATCH(L54,AUXILIAR!$AP$3:$AP$8,1)),N54))</f>
        <v>0</v>
      </c>
      <c r="P54" s="92">
        <f t="shared" si="5"/>
        <v>0</v>
      </c>
      <c r="Q54" s="92">
        <f t="shared" si="6"/>
        <v>0</v>
      </c>
      <c r="R54" s="92" t="s">
        <v>0</v>
      </c>
      <c r="S54" s="88">
        <f t="shared" si="7"/>
        <v>0</v>
      </c>
      <c r="T54" s="102">
        <f>((AM54/(1+AUXILIAR!$BJ$4))-((AM54/(1+AUXILIAR!$BJ$4))*AUXILIAR!$BK$4))-(((AM54/(1+AUXILIAR!$BJ$4))-((AM54/(1+AUXILIAR!$BJ$4))*AUXILIAR!$BK$4))*((AUXILIAR!$BL$4+AUXILIAR!$BM$4)))</f>
        <v>0</v>
      </c>
      <c r="U54" s="102">
        <f>((S54/(1+AUXILIAR!$BJ$7))-((S54/(1+AUXILIAR!$BJ$7))*AUXILIAR!$BK$7))-(((S54/(1+AUXILIAR!$BJ$7))-((S54/(1+AUXILIAR!$BJ$7))*AUXILIAR!$BK$7))*((AUXILIAR!$BL$7+AUXILIAR!$BM$7)))</f>
        <v>0</v>
      </c>
      <c r="V54" s="103">
        <f>AM54-(AM54/(1+AUXILIAR!$BJ$4))</f>
        <v>0</v>
      </c>
      <c r="W54" s="104">
        <f>(AM54-V54)*AUXILIAR!$BK$4</f>
        <v>0</v>
      </c>
      <c r="X54" s="104">
        <f>(AM54-V54-W54)*(AUXILIAR!$BL$4+AUXILIAR!$BM$4)</f>
        <v>0</v>
      </c>
      <c r="Y54" s="104">
        <f>X54-(X54/(1+AUXILIAR!$BJ$7))</f>
        <v>0</v>
      </c>
      <c r="Z54" s="104">
        <f>(S54-Y54)*AUXILIAR!$BK$7</f>
        <v>0</v>
      </c>
      <c r="AA54" s="104">
        <f>(S54-Y54-Z54)*(AUXILIAR!$BL$7+AUXILIAR!$BM$7)</f>
        <v>0</v>
      </c>
      <c r="AB54" s="105">
        <f t="shared" si="8"/>
        <v>0</v>
      </c>
      <c r="AC54" s="105">
        <f t="shared" si="9"/>
        <v>0</v>
      </c>
      <c r="AD54" s="105">
        <f t="shared" si="10"/>
        <v>0</v>
      </c>
      <c r="AE54" s="105">
        <f t="shared" si="11"/>
        <v>0</v>
      </c>
      <c r="AF54" s="105">
        <f t="shared" si="12"/>
        <v>0</v>
      </c>
      <c r="AG54" s="104">
        <f t="shared" si="13"/>
        <v>0</v>
      </c>
      <c r="AH54" s="102">
        <f t="shared" si="14"/>
        <v>0</v>
      </c>
      <c r="AI54" s="106">
        <f t="shared" si="15"/>
        <v>0</v>
      </c>
      <c r="AJ54" s="102">
        <f t="shared" si="16"/>
        <v>0</v>
      </c>
      <c r="AK54" s="102">
        <f t="shared" si="17"/>
        <v>0</v>
      </c>
      <c r="AL54" s="102">
        <f>AUXILIAR!$BM$12</f>
        <v>1</v>
      </c>
      <c r="AM54" s="102">
        <f>IF($E$2="XADREZ",
     IFERROR(VLOOKUP(G54,AUXILIAR!AB:AC,2,TRUE),0),
     IF(AC51="SIM", 0, IFERROR(VLOOKUP(G54,AUXILIAR!AB:AC,2,TRUE),0))
)</f>
        <v>0</v>
      </c>
      <c r="AN54" s="102">
        <f t="shared" si="18"/>
        <v>0</v>
      </c>
      <c r="AO54" s="102">
        <f t="shared" si="19"/>
        <v>0</v>
      </c>
      <c r="AP54" s="102">
        <f t="shared" si="20"/>
        <v>0</v>
      </c>
      <c r="AQ54" s="102" t="str">
        <f>IFERROR(INDEX(AUXILIAR!$AG$4:$AG$21,MATCH(G54,AUXILIAR!$AH$4:$AH$21,0))*AM54,"-")</f>
        <v>-</v>
      </c>
      <c r="AR54" s="107" t="str">
        <f>IF(R54="GUILHOTINA",IFERROR(VLOOKUP(G54,AUXILIAR!$Q:$S,3,FALSE),""),IF(R54="LASER",IFERROR(VLOOKUP(G54,AUXILIAR!$E:$I,3,FALSE),""),IF(R54="PLASMA",IFERROR(VLOOKUP(G54,AUXILIAR!$K:$O,3,FALSE),""),"")))</f>
        <v/>
      </c>
      <c r="AS54" s="89" t="str">
        <f t="shared" si="21"/>
        <v/>
      </c>
      <c r="AT54" s="89" t="str">
        <f t="shared" si="22"/>
        <v/>
      </c>
      <c r="AU54" s="89" t="str">
        <f t="shared" si="23"/>
        <v/>
      </c>
      <c r="AV54" s="89" t="str">
        <f t="shared" si="24"/>
        <v/>
      </c>
      <c r="AW54" s="89" t="str">
        <f t="shared" si="25"/>
        <v/>
      </c>
      <c r="AY54" s="144">
        <f t="shared" si="1"/>
        <v>0</v>
      </c>
    </row>
    <row r="55" spans="1:58" s="100" customFormat="1" x14ac:dyDescent="0.35">
      <c r="A55" s="82"/>
      <c r="B55" s="82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9"/>
      <c r="AL55" s="99"/>
      <c r="AM55" s="98"/>
      <c r="AO55" s="99"/>
      <c r="AP55" s="99"/>
      <c r="AQ55" s="99"/>
      <c r="AR55" s="98"/>
      <c r="AY55" s="144">
        <f t="shared" si="1"/>
        <v>0</v>
      </c>
      <c r="BF55" s="99"/>
    </row>
    <row r="56" spans="1:58" x14ac:dyDescent="0.35">
      <c r="M56" s="113"/>
      <c r="Q56" s="143"/>
    </row>
  </sheetData>
  <mergeCells count="14">
    <mergeCell ref="S9:T9"/>
    <mergeCell ref="D10:P11"/>
    <mergeCell ref="Q10:R10"/>
    <mergeCell ref="S10:T10"/>
    <mergeCell ref="F6:G6"/>
    <mergeCell ref="A8:C11"/>
    <mergeCell ref="D8:P9"/>
    <mergeCell ref="Q9:R9"/>
    <mergeCell ref="F7:G7"/>
    <mergeCell ref="F1:H1"/>
    <mergeCell ref="F2:G2"/>
    <mergeCell ref="F3:G3"/>
    <mergeCell ref="F4:G4"/>
    <mergeCell ref="F5:G5"/>
  </mergeCells>
  <dataValidations count="3">
    <dataValidation type="list" allowBlank="1" showInputMessage="1" showErrorMessage="1" sqref="G14:G54">
      <mc:AlternateContent xmlns:x12ac="http://schemas.microsoft.com/office/spreadsheetml/2011/1/ac" xmlns:mc="http://schemas.openxmlformats.org/markup-compatibility/2006">
        <mc:Choice Requires="x12ac">
          <x12ac:list>"0,90","1,20","1,25","1,50","1,55","1,80","1,90","2,00","2,25","2,65","3,00","3,35","3,75","4,25","4,75","6,35","7,94","9,53","12,70","15,88"</x12ac:list>
        </mc:Choice>
        <mc:Fallback>
          <formula1>"0,90,1,20,1,25,1,50,1,55,1,80,1,90,2,00,2,25,2,65,3,00,3,35,3,75,4,25,4,75,6,35,7,94,9,53,12,70,15,88"</formula1>
        </mc:Fallback>
      </mc:AlternateContent>
    </dataValidation>
    <dataValidation type="list" allowBlank="1" showInputMessage="1" showErrorMessage="1" sqref="E2">
      <formula1>"XADREZ,FF,GALV,FQ"</formula1>
    </dataValidation>
    <dataValidation type="list" allowBlank="1" showInputMessage="1" showErrorMessage="1" promptTitle="ASDDASDASDAS" sqref="R14:R54">
      <formula1>"PLASMA,LASER,OXI,GUILHOTINA"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FFFF00"/>
  </sheetPr>
  <dimension ref="A1:BM28"/>
  <sheetViews>
    <sheetView topLeftCell="AL1" workbookViewId="0">
      <selection activeCell="BK7" sqref="BK7"/>
    </sheetView>
  </sheetViews>
  <sheetFormatPr defaultRowHeight="11.4" x14ac:dyDescent="0.25"/>
  <cols>
    <col min="1" max="1" width="4" style="82" customWidth="1"/>
    <col min="2" max="2" width="14" style="82" bestFit="1" customWidth="1"/>
    <col min="3" max="3" width="15" style="82" bestFit="1" customWidth="1"/>
    <col min="4" max="4" width="3.33203125" style="82" customWidth="1"/>
    <col min="5" max="5" width="12.109375" style="82" bestFit="1" customWidth="1"/>
    <col min="6" max="9" width="9.109375" style="82" bestFit="1" customWidth="1"/>
    <col min="10" max="10" width="3.5546875" style="82" customWidth="1"/>
    <col min="11" max="11" width="15.5546875" style="82" bestFit="1" customWidth="1"/>
    <col min="12" max="12" width="8.77734375" style="82" bestFit="1" customWidth="1"/>
    <col min="13" max="13" width="9.109375" style="82" bestFit="1" customWidth="1"/>
    <col min="14" max="14" width="8.77734375" style="82" bestFit="1" customWidth="1"/>
    <col min="15" max="15" width="8.109375" style="82" bestFit="1" customWidth="1"/>
    <col min="16" max="16" width="8" style="205" customWidth="1"/>
    <col min="17" max="17" width="21.33203125" style="82" bestFit="1" customWidth="1"/>
    <col min="18" max="19" width="7.77734375" style="82" bestFit="1" customWidth="1"/>
    <col min="20" max="20" width="2.44140625" style="82" customWidth="1"/>
    <col min="21" max="21" width="5.5546875" style="82" bestFit="1" customWidth="1"/>
    <col min="22" max="22" width="12" style="82" bestFit="1" customWidth="1"/>
    <col min="23" max="23" width="16.21875" style="82" bestFit="1" customWidth="1"/>
    <col min="24" max="25" width="10.109375" style="82" bestFit="1" customWidth="1"/>
    <col min="26" max="26" width="13.21875" style="82" bestFit="1" customWidth="1"/>
    <col min="27" max="27" width="2.88671875" style="82" customWidth="1"/>
    <col min="28" max="28" width="20.77734375" style="82" bestFit="1" customWidth="1"/>
    <col min="29" max="29" width="17.33203125" style="82" customWidth="1"/>
    <col min="30" max="30" width="8.88671875" style="82"/>
    <col min="31" max="31" width="9" style="82" bestFit="1" customWidth="1"/>
    <col min="32" max="32" width="9.88671875" style="82" bestFit="1" customWidth="1"/>
    <col min="33" max="33" width="17.6640625" style="82" bestFit="1" customWidth="1"/>
    <col min="34" max="34" width="9.88671875" style="82" bestFit="1" customWidth="1"/>
    <col min="35" max="35" width="22.21875" style="82" bestFit="1" customWidth="1"/>
    <col min="36" max="36" width="23.44140625" style="82" bestFit="1" customWidth="1"/>
    <col min="37" max="37" width="19.6640625" style="82" bestFit="1" customWidth="1"/>
    <col min="38" max="61" width="8.88671875" style="82"/>
    <col min="62" max="64" width="9" style="82" bestFit="1" customWidth="1"/>
    <col min="65" max="65" width="10.5546875" style="82" bestFit="1" customWidth="1"/>
    <col min="66" max="16384" width="8.88671875" style="82"/>
  </cols>
  <sheetData>
    <row r="1" spans="1:65" ht="12" thickBot="1" x14ac:dyDescent="0.3">
      <c r="E1" s="145" t="s">
        <v>0</v>
      </c>
      <c r="F1" s="146"/>
      <c r="G1" s="146"/>
      <c r="H1" s="146"/>
      <c r="I1" s="147"/>
      <c r="K1" s="148" t="s">
        <v>6</v>
      </c>
      <c r="L1" s="149"/>
      <c r="M1" s="149"/>
      <c r="N1" s="149"/>
      <c r="O1" s="150"/>
      <c r="P1" s="151"/>
      <c r="Q1" s="152" t="s">
        <v>54</v>
      </c>
      <c r="R1" s="153"/>
      <c r="S1" s="154"/>
      <c r="W1" s="155">
        <f>VALUE(IFERROR(MID(W3,1,SEARCH("-",W3,1)-1),""))</f>
        <v>0</v>
      </c>
      <c r="X1" s="155">
        <f>VALUE(IFERROR(MID(X3,1,SEARCH("-",X3,1)-1),""))</f>
        <v>5</v>
      </c>
      <c r="Y1" s="155">
        <f>VALUE(IFERROR(MID(Y3,1,SEARCH("-",Y3,1)-1),""))</f>
        <v>10</v>
      </c>
      <c r="Z1" s="155">
        <f>VALUE(IFERROR(MID(Z3,1,SEARCH("kg",Z3,1)-1),""))</f>
        <v>20</v>
      </c>
      <c r="AB1" s="156" t="s">
        <v>52</v>
      </c>
      <c r="AC1" s="157"/>
      <c r="AE1" s="158" t="s">
        <v>130</v>
      </c>
      <c r="AF1" s="93"/>
      <c r="AG1" s="93"/>
      <c r="AH1" s="94"/>
      <c r="AI1" s="243" t="s">
        <v>179</v>
      </c>
      <c r="AJ1" s="244"/>
      <c r="AK1" s="245"/>
      <c r="AM1" s="243" t="s">
        <v>179</v>
      </c>
      <c r="AN1" s="244"/>
      <c r="AO1" s="245"/>
    </row>
    <row r="2" spans="1:65" s="214" customFormat="1" ht="46.2" thickBot="1" x14ac:dyDescent="0.35">
      <c r="B2" s="208" t="s">
        <v>28</v>
      </c>
      <c r="C2" s="209"/>
      <c r="E2" s="159" t="s">
        <v>1</v>
      </c>
      <c r="F2" s="159" t="s">
        <v>2</v>
      </c>
      <c r="G2" s="159" t="s">
        <v>3</v>
      </c>
      <c r="H2" s="159" t="s">
        <v>4</v>
      </c>
      <c r="I2" s="159" t="s">
        <v>5</v>
      </c>
      <c r="J2" s="160">
        <f>0</f>
        <v>0</v>
      </c>
      <c r="K2" s="161" t="s">
        <v>1</v>
      </c>
      <c r="L2" s="161" t="s">
        <v>2</v>
      </c>
      <c r="M2" s="161" t="s">
        <v>3</v>
      </c>
      <c r="N2" s="161" t="s">
        <v>4</v>
      </c>
      <c r="O2" s="161" t="s">
        <v>5</v>
      </c>
      <c r="P2" s="162"/>
      <c r="Q2" s="163" t="s">
        <v>1</v>
      </c>
      <c r="R2" s="163" t="s">
        <v>2</v>
      </c>
      <c r="S2" s="163" t="s">
        <v>3</v>
      </c>
      <c r="U2" s="164"/>
      <c r="V2" s="210" t="s">
        <v>7</v>
      </c>
      <c r="W2" s="211" t="s">
        <v>8</v>
      </c>
      <c r="X2" s="212"/>
      <c r="Y2" s="212"/>
      <c r="Z2" s="213"/>
      <c r="AB2" s="165" t="s">
        <v>53</v>
      </c>
      <c r="AC2" s="166" t="s">
        <v>55</v>
      </c>
      <c r="AE2" s="215" t="s">
        <v>131</v>
      </c>
      <c r="AF2" s="215" t="s">
        <v>132</v>
      </c>
      <c r="AG2" s="215" t="s">
        <v>133</v>
      </c>
      <c r="AH2" s="215" t="s">
        <v>132</v>
      </c>
      <c r="AI2" s="167" t="s">
        <v>180</v>
      </c>
      <c r="AJ2" s="167" t="s">
        <v>182</v>
      </c>
      <c r="AK2" s="167" t="s">
        <v>181</v>
      </c>
      <c r="AM2" s="246" t="s">
        <v>183</v>
      </c>
      <c r="AN2" s="247"/>
      <c r="AO2" s="248"/>
      <c r="BJ2" s="216" t="s">
        <v>75</v>
      </c>
      <c r="BK2" s="217"/>
      <c r="BL2" s="218"/>
      <c r="BM2" s="219"/>
    </row>
    <row r="3" spans="1:65" ht="12" thickBot="1" x14ac:dyDescent="0.3">
      <c r="B3" s="172"/>
      <c r="C3" s="173"/>
      <c r="E3" s="174">
        <v>1.2</v>
      </c>
      <c r="F3" s="175">
        <v>25000</v>
      </c>
      <c r="G3" s="175">
        <f>F3*0.85</f>
        <v>21250</v>
      </c>
      <c r="H3" s="175"/>
      <c r="I3" s="175"/>
      <c r="J3" s="160">
        <v>1</v>
      </c>
      <c r="K3" s="176">
        <v>1.2</v>
      </c>
      <c r="L3" s="175">
        <v>5200</v>
      </c>
      <c r="M3" s="175">
        <f>L3*0.85</f>
        <v>4420</v>
      </c>
      <c r="N3" s="175"/>
      <c r="O3" s="175"/>
      <c r="P3" s="177"/>
      <c r="Q3" s="178">
        <v>1.2</v>
      </c>
      <c r="R3" s="179">
        <v>36000</v>
      </c>
      <c r="S3" s="179">
        <f t="shared" ref="S3:S27" si="0">R3*0.85</f>
        <v>30600</v>
      </c>
      <c r="U3" s="164"/>
      <c r="V3" s="180"/>
      <c r="W3" s="181" t="s">
        <v>9</v>
      </c>
      <c r="X3" s="181" t="s">
        <v>10</v>
      </c>
      <c r="Y3" s="181" t="s">
        <v>11</v>
      </c>
      <c r="Z3" s="182" t="s">
        <v>12</v>
      </c>
      <c r="AB3" s="183">
        <v>0.9</v>
      </c>
      <c r="AC3" s="183">
        <v>5.75</v>
      </c>
      <c r="AE3" s="95">
        <v>1</v>
      </c>
      <c r="AF3" s="96" t="s">
        <v>134</v>
      </c>
      <c r="AG3" s="96">
        <v>0</v>
      </c>
      <c r="AH3" s="96">
        <v>0.9</v>
      </c>
      <c r="AI3" s="95">
        <f>IF(COUNTIF(PEÇAS!$G$14:$G$1001,AH3)&gt;0,1,0)</f>
        <v>0</v>
      </c>
      <c r="AJ3" s="95">
        <f>IF(OR(AH3="",AI3=0),0,IF(SUMIFS(PEÇAS!$AT$14:$AT$1001,PEÇAS!$G$14:$G$1001,AH3)=0,0,ROUNDUP(SUMIFS(PEÇAS!$AT$14:$AT$1001,PEÇAS!$G$14:$G$1001,AH3)/(1200*3000),0)*20))</f>
        <v>0</v>
      </c>
      <c r="AK3" s="206">
        <f>SUM(AJ3:AJ28)</f>
        <v>20</v>
      </c>
      <c r="AM3" s="95">
        <v>0</v>
      </c>
      <c r="AN3" s="222" t="s">
        <v>189</v>
      </c>
      <c r="AO3" s="221">
        <v>4.0509259259259257E-3</v>
      </c>
      <c r="BJ3" s="59" t="s">
        <v>63</v>
      </c>
      <c r="BK3" s="60" t="s">
        <v>66</v>
      </c>
      <c r="BL3" s="60" t="s">
        <v>64</v>
      </c>
      <c r="BM3" s="61" t="s">
        <v>65</v>
      </c>
    </row>
    <row r="4" spans="1:65" ht="12" thickBot="1" x14ac:dyDescent="0.3">
      <c r="B4" s="184" t="s">
        <v>29</v>
      </c>
      <c r="C4" s="185">
        <v>20000</v>
      </c>
      <c r="E4" s="174">
        <v>1.5</v>
      </c>
      <c r="F4" s="175">
        <v>25000</v>
      </c>
      <c r="G4" s="175">
        <f>F4*0.85</f>
        <v>21250</v>
      </c>
      <c r="H4" s="175"/>
      <c r="I4" s="175"/>
      <c r="J4" s="160">
        <f t="shared" ref="J4:J27" si="1">J3+1</f>
        <v>2</v>
      </c>
      <c r="K4" s="176">
        <v>1.25</v>
      </c>
      <c r="L4" s="175">
        <v>5200</v>
      </c>
      <c r="M4" s="175">
        <f>L4*0.85</f>
        <v>4420</v>
      </c>
      <c r="N4" s="175"/>
      <c r="O4" s="175"/>
      <c r="P4" s="177"/>
      <c r="Q4" s="178">
        <v>1.5</v>
      </c>
      <c r="R4" s="179">
        <v>36000</v>
      </c>
      <c r="S4" s="179">
        <f t="shared" si="0"/>
        <v>30600</v>
      </c>
      <c r="U4" s="155">
        <f t="shared" ref="U4:U18" si="2">VALUE(IFERROR(MID(V4,1,SEARCH("a",V4,1)-2),""))</f>
        <v>1</v>
      </c>
      <c r="V4" s="186" t="s">
        <v>13</v>
      </c>
      <c r="W4" s="187">
        <v>5</v>
      </c>
      <c r="X4" s="187">
        <v>8</v>
      </c>
      <c r="Y4" s="187">
        <v>12</v>
      </c>
      <c r="Z4" s="187">
        <v>15</v>
      </c>
      <c r="AB4" s="183">
        <v>1.2</v>
      </c>
      <c r="AC4" s="188">
        <v>5.75</v>
      </c>
      <c r="AE4" s="95">
        <f t="shared" ref="AE4:AE27" si="3">AE3+1</f>
        <v>2</v>
      </c>
      <c r="AF4" s="96" t="s">
        <v>135</v>
      </c>
      <c r="AG4" s="96">
        <v>0</v>
      </c>
      <c r="AH4" s="96">
        <v>1.25</v>
      </c>
      <c r="AI4" s="95">
        <f>IF(COUNTIF(PEÇAS!$G$14:$G$1001,AH4)&gt;0,1,0)</f>
        <v>0</v>
      </c>
      <c r="AJ4" s="95">
        <f>IF(OR(AH4="",AI4=0),0,IF(SUMIFS(PEÇAS!$AT$14:$AT$1001,PEÇAS!$G$14:$G$1001,AH4)=0,0,ROUNDUP(SUMIFS(PEÇAS!$AT$14:$AT$1001,PEÇAS!$G$14:$G$1001,AH4)/(1200*3000),0)*20))</f>
        <v>0</v>
      </c>
      <c r="AM4" s="95">
        <f>AM3+1</f>
        <v>1</v>
      </c>
      <c r="AN4" s="220" t="s">
        <v>184</v>
      </c>
      <c r="AO4" s="221">
        <v>5.8333333333333336E-3</v>
      </c>
      <c r="BJ4" s="62">
        <v>3.2500000000000001E-2</v>
      </c>
      <c r="BK4" s="63">
        <v>0.12</v>
      </c>
      <c r="BL4" s="64">
        <v>7.5999999999999998E-2</v>
      </c>
      <c r="BM4" s="65">
        <v>1.6500000000000001E-2</v>
      </c>
    </row>
    <row r="5" spans="1:65" ht="12" thickBot="1" x14ac:dyDescent="0.3">
      <c r="B5" s="184" t="s">
        <v>30</v>
      </c>
      <c r="C5" s="173">
        <v>20</v>
      </c>
      <c r="E5" s="174">
        <v>1.95</v>
      </c>
      <c r="F5" s="175">
        <v>25000</v>
      </c>
      <c r="G5" s="175">
        <v>4420</v>
      </c>
      <c r="H5" s="175"/>
      <c r="I5" s="175"/>
      <c r="J5" s="160">
        <f t="shared" si="1"/>
        <v>3</v>
      </c>
      <c r="K5" s="176">
        <v>1.5</v>
      </c>
      <c r="L5" s="175">
        <v>5200</v>
      </c>
      <c r="M5" s="175">
        <v>4420</v>
      </c>
      <c r="N5" s="175"/>
      <c r="O5" s="175"/>
      <c r="P5" s="177"/>
      <c r="Q5" s="178">
        <v>1.9</v>
      </c>
      <c r="R5" s="179">
        <v>36000</v>
      </c>
      <c r="S5" s="179">
        <f t="shared" si="0"/>
        <v>30600</v>
      </c>
      <c r="U5" s="155">
        <f t="shared" si="2"/>
        <v>11</v>
      </c>
      <c r="V5" s="186" t="s">
        <v>14</v>
      </c>
      <c r="W5" s="187">
        <v>8</v>
      </c>
      <c r="X5" s="187">
        <v>12</v>
      </c>
      <c r="Y5" s="187">
        <v>16</v>
      </c>
      <c r="Z5" s="187">
        <v>19</v>
      </c>
      <c r="AB5" s="183">
        <v>1.5</v>
      </c>
      <c r="AC5" s="188">
        <v>5.75</v>
      </c>
      <c r="AE5" s="95">
        <f t="shared" si="3"/>
        <v>3</v>
      </c>
      <c r="AF5" s="96" t="s">
        <v>136</v>
      </c>
      <c r="AG5" s="96">
        <v>0</v>
      </c>
      <c r="AH5" s="96">
        <v>1.5</v>
      </c>
      <c r="AI5" s="95">
        <f>IF(COUNTIF(PEÇAS!$G$14:$G$1001,AH5)&gt;0,1,0)</f>
        <v>0</v>
      </c>
      <c r="AJ5" s="95">
        <f>IF(OR(AH5="",AI5=0),0,IF(SUMIFS(PEÇAS!$AT$14:$AT$1001,PEÇAS!$G$14:$G$1001,AH5)=0,0,ROUNDUP(SUMIFS(PEÇAS!$AT$14:$AT$1001,PEÇAS!$G$14:$G$1001,AH5)/(1200*3000),0)*20))</f>
        <v>0</v>
      </c>
      <c r="AM5" s="95">
        <f>AM4+1</f>
        <v>2</v>
      </c>
      <c r="AN5" s="222" t="s">
        <v>188</v>
      </c>
      <c r="AO5" s="221">
        <v>7.2916666666666659E-3</v>
      </c>
      <c r="BJ5" s="168" t="s">
        <v>76</v>
      </c>
      <c r="BK5" s="169"/>
      <c r="BL5" s="170"/>
      <c r="BM5" s="171"/>
    </row>
    <row r="6" spans="1:65" ht="12" thickBot="1" x14ac:dyDescent="0.3">
      <c r="B6" s="184" t="s">
        <v>31</v>
      </c>
      <c r="C6" s="173">
        <v>500</v>
      </c>
      <c r="E6" s="174">
        <v>2</v>
      </c>
      <c r="F6" s="175">
        <v>25000</v>
      </c>
      <c r="G6" s="175">
        <f t="shared" ref="G6:G12" si="4">F6*0.85</f>
        <v>21250</v>
      </c>
      <c r="H6" s="175"/>
      <c r="I6" s="175"/>
      <c r="J6" s="160">
        <f t="shared" si="1"/>
        <v>4</v>
      </c>
      <c r="K6" s="176">
        <v>1.9</v>
      </c>
      <c r="L6" s="175">
        <v>5200</v>
      </c>
      <c r="M6" s="175">
        <f t="shared" ref="M6:M12" si="5">L6*0.85</f>
        <v>4420</v>
      </c>
      <c r="N6" s="175"/>
      <c r="O6" s="175"/>
      <c r="P6" s="177"/>
      <c r="Q6" s="178">
        <v>2</v>
      </c>
      <c r="R6" s="179">
        <v>36000</v>
      </c>
      <c r="S6" s="179">
        <f t="shared" si="0"/>
        <v>30600</v>
      </c>
      <c r="U6" s="155">
        <f t="shared" si="2"/>
        <v>31</v>
      </c>
      <c r="V6" s="186" t="s">
        <v>15</v>
      </c>
      <c r="W6" s="187">
        <v>11</v>
      </c>
      <c r="X6" s="187">
        <v>16</v>
      </c>
      <c r="Y6" s="187">
        <v>20</v>
      </c>
      <c r="Z6" s="187">
        <v>23</v>
      </c>
      <c r="AB6" s="183">
        <v>2</v>
      </c>
      <c r="AC6" s="188">
        <v>5.0999999999999996</v>
      </c>
      <c r="AE6" s="95">
        <f t="shared" si="3"/>
        <v>4</v>
      </c>
      <c r="AF6" s="96" t="s">
        <v>137</v>
      </c>
      <c r="AG6" s="96">
        <v>0</v>
      </c>
      <c r="AH6" s="96">
        <v>1.9</v>
      </c>
      <c r="AI6" s="95">
        <f>IF(COUNTIF(PEÇAS!$G$14:$G$1001,AH6)&gt;0,1,0)</f>
        <v>0</v>
      </c>
      <c r="AJ6" s="95">
        <f>IF(OR(AH6="",AI6=0),0,IF(SUMIFS(PEÇAS!$AT$14:$AT$1001,PEÇAS!$G$14:$G$1001,AH6)=0,0,ROUNDUP(SUMIFS(PEÇAS!$AT$14:$AT$1001,PEÇAS!$G$14:$G$1001,AH6)/(1200*3000),0)*20))</f>
        <v>0</v>
      </c>
      <c r="AM6" s="95">
        <f t="shared" ref="AM6:AM8" si="6">AM5+1</f>
        <v>3</v>
      </c>
      <c r="AN6" s="222" t="s">
        <v>186</v>
      </c>
      <c r="AO6" s="221">
        <v>8.9699074074074073E-3</v>
      </c>
      <c r="BJ6" s="66" t="s">
        <v>63</v>
      </c>
      <c r="BK6" s="67" t="s">
        <v>66</v>
      </c>
      <c r="BL6" s="67" t="s">
        <v>64</v>
      </c>
      <c r="BM6" s="68" t="s">
        <v>65</v>
      </c>
    </row>
    <row r="7" spans="1:65" ht="12" thickBot="1" x14ac:dyDescent="0.3">
      <c r="B7" s="172"/>
      <c r="C7" s="173"/>
      <c r="E7" s="174">
        <v>2</v>
      </c>
      <c r="F7" s="175">
        <v>25000</v>
      </c>
      <c r="G7" s="175">
        <f t="shared" si="4"/>
        <v>21250</v>
      </c>
      <c r="H7" s="175"/>
      <c r="I7" s="175"/>
      <c r="J7" s="160">
        <f t="shared" si="1"/>
        <v>5</v>
      </c>
      <c r="K7" s="176">
        <v>2</v>
      </c>
      <c r="L7" s="175">
        <v>5200</v>
      </c>
      <c r="M7" s="175">
        <f t="shared" si="5"/>
        <v>4420</v>
      </c>
      <c r="N7" s="175"/>
      <c r="O7" s="175"/>
      <c r="P7" s="177"/>
      <c r="Q7" s="178">
        <v>2</v>
      </c>
      <c r="R7" s="179">
        <v>36000</v>
      </c>
      <c r="S7" s="179">
        <f t="shared" si="0"/>
        <v>30600</v>
      </c>
      <c r="U7" s="155">
        <f t="shared" si="2"/>
        <v>51</v>
      </c>
      <c r="V7" s="186" t="s">
        <v>16</v>
      </c>
      <c r="W7" s="187">
        <v>14</v>
      </c>
      <c r="X7" s="187">
        <v>20</v>
      </c>
      <c r="Y7" s="187">
        <v>24</v>
      </c>
      <c r="Z7" s="187">
        <v>27</v>
      </c>
      <c r="AB7" s="183">
        <v>2.25</v>
      </c>
      <c r="AC7" s="188">
        <v>5.0999999999999996</v>
      </c>
      <c r="AE7" s="95">
        <f t="shared" si="3"/>
        <v>5</v>
      </c>
      <c r="AF7" s="96" t="s">
        <v>138</v>
      </c>
      <c r="AG7" s="96">
        <v>0</v>
      </c>
      <c r="AH7" s="96">
        <v>2</v>
      </c>
      <c r="AI7" s="95">
        <f>IF(COUNTIF(PEÇAS!$G$14:$G$1001,AH7)&gt;0,1,0)</f>
        <v>0</v>
      </c>
      <c r="AJ7" s="95">
        <f>IF(OR(AH7="",AI7=0),0,IF(SUMIFS(PEÇAS!$AT$14:$AT$1001,PEÇAS!$G$14:$G$1001,AH7)=0,0,ROUNDUP(SUMIFS(PEÇAS!$AT$14:$AT$1001,PEÇAS!$G$14:$G$1001,AH7)/(1200*3000),0)*20))</f>
        <v>0</v>
      </c>
      <c r="AM7" s="95">
        <f t="shared" si="6"/>
        <v>4</v>
      </c>
      <c r="AN7" s="222" t="s">
        <v>187</v>
      </c>
      <c r="AO7" s="221">
        <v>8.9699074074074073E-3</v>
      </c>
      <c r="BJ7" s="69">
        <v>0</v>
      </c>
      <c r="BK7" s="70">
        <v>0.12</v>
      </c>
      <c r="BL7" s="71">
        <v>7.5999999999999998E-2</v>
      </c>
      <c r="BM7" s="72">
        <v>1.6500000000000001E-2</v>
      </c>
    </row>
    <row r="8" spans="1:65" ht="12" thickBot="1" x14ac:dyDescent="0.3">
      <c r="B8" s="184" t="s">
        <v>32</v>
      </c>
      <c r="C8" s="189">
        <f>C4/C5/C6</f>
        <v>2</v>
      </c>
      <c r="E8" s="174">
        <v>2.25</v>
      </c>
      <c r="F8" s="175">
        <v>20000</v>
      </c>
      <c r="G8" s="175">
        <f t="shared" si="4"/>
        <v>17000</v>
      </c>
      <c r="H8" s="175"/>
      <c r="I8" s="175"/>
      <c r="J8" s="160">
        <f t="shared" si="1"/>
        <v>6</v>
      </c>
      <c r="K8" s="176">
        <v>2.15</v>
      </c>
      <c r="L8" s="175">
        <v>5200</v>
      </c>
      <c r="M8" s="175">
        <f t="shared" si="5"/>
        <v>4420</v>
      </c>
      <c r="N8" s="175"/>
      <c r="O8" s="175"/>
      <c r="P8" s="177"/>
      <c r="Q8" s="178">
        <v>2.25</v>
      </c>
      <c r="R8" s="179">
        <v>36000</v>
      </c>
      <c r="S8" s="179">
        <f t="shared" si="0"/>
        <v>30600</v>
      </c>
      <c r="U8" s="155">
        <f t="shared" si="2"/>
        <v>71</v>
      </c>
      <c r="V8" s="186" t="s">
        <v>17</v>
      </c>
      <c r="W8" s="187">
        <v>17</v>
      </c>
      <c r="X8" s="187">
        <v>24</v>
      </c>
      <c r="Y8" s="187">
        <v>28</v>
      </c>
      <c r="Z8" s="187">
        <v>31</v>
      </c>
      <c r="AB8" s="183">
        <v>2.65</v>
      </c>
      <c r="AC8" s="188">
        <v>5</v>
      </c>
      <c r="AE8" s="95">
        <f t="shared" si="3"/>
        <v>6</v>
      </c>
      <c r="AF8" s="96" t="s">
        <v>139</v>
      </c>
      <c r="AG8" s="96">
        <v>0</v>
      </c>
      <c r="AH8" s="96">
        <v>2.15</v>
      </c>
      <c r="AI8" s="95">
        <f>IF(COUNTIF(PEÇAS!$G$14:$G$1001,AH8)&gt;0,1,0)</f>
        <v>0</v>
      </c>
      <c r="AJ8" s="95">
        <f>IF(OR(AH8="",AI8=0),0,IF(SUMIFS(PEÇAS!$AT$14:$AT$1001,PEÇAS!$G$14:$G$1001,AH8)=0,0,ROUNDUP(SUMIFS(PEÇAS!$AT$14:$AT$1001,PEÇAS!$G$14:$G$1001,AH8)/(1200*3000),0)*20))</f>
        <v>0</v>
      </c>
      <c r="AM8" s="95">
        <f t="shared" si="6"/>
        <v>5</v>
      </c>
      <c r="AN8" s="222" t="s">
        <v>185</v>
      </c>
      <c r="AO8" s="221">
        <v>1.6284722222222221E-2</v>
      </c>
      <c r="BJ8" s="168" t="s">
        <v>77</v>
      </c>
      <c r="BK8" s="169"/>
      <c r="BL8" s="170"/>
      <c r="BM8" s="171"/>
    </row>
    <row r="9" spans="1:65" x14ac:dyDescent="0.25">
      <c r="B9" s="190"/>
      <c r="C9" s="190"/>
      <c r="E9" s="174">
        <v>2.25</v>
      </c>
      <c r="F9" s="175">
        <v>20000</v>
      </c>
      <c r="G9" s="175">
        <f t="shared" si="4"/>
        <v>17000</v>
      </c>
      <c r="H9" s="175"/>
      <c r="I9" s="175"/>
      <c r="J9" s="160">
        <f t="shared" si="1"/>
        <v>7</v>
      </c>
      <c r="K9" s="176">
        <v>2.25</v>
      </c>
      <c r="L9" s="175">
        <v>5200</v>
      </c>
      <c r="M9" s="175">
        <f t="shared" si="5"/>
        <v>4420</v>
      </c>
      <c r="N9" s="175"/>
      <c r="O9" s="175"/>
      <c r="P9" s="177"/>
      <c r="Q9" s="178">
        <v>2.25</v>
      </c>
      <c r="R9" s="179">
        <v>36000</v>
      </c>
      <c r="S9" s="179">
        <f t="shared" si="0"/>
        <v>30600</v>
      </c>
      <c r="U9" s="155">
        <f t="shared" si="2"/>
        <v>91</v>
      </c>
      <c r="V9" s="186" t="s">
        <v>18</v>
      </c>
      <c r="W9" s="187">
        <v>20</v>
      </c>
      <c r="X9" s="187">
        <v>28</v>
      </c>
      <c r="Y9" s="187">
        <v>32</v>
      </c>
      <c r="Z9" s="187">
        <v>35</v>
      </c>
      <c r="AB9" s="183">
        <v>4.75</v>
      </c>
      <c r="AC9" s="188">
        <v>5</v>
      </c>
      <c r="AE9" s="95">
        <f t="shared" si="3"/>
        <v>7</v>
      </c>
      <c r="AF9" s="96" t="s">
        <v>140</v>
      </c>
      <c r="AG9" s="96">
        <v>0</v>
      </c>
      <c r="AH9" s="96">
        <v>2.25</v>
      </c>
      <c r="AI9" s="95">
        <f>IF(COUNTIF(PEÇAS!$G$14:$G$1001,AH9)&gt;0,1,0)</f>
        <v>0</v>
      </c>
      <c r="AJ9" s="95">
        <f>IF(OR(AH9="",AI9=0),0,IF(SUMIFS(PEÇAS!$AT$14:$AT$1001,PEÇAS!$G$14:$G$1001,AH9)=0,0,ROUNDUP(SUMIFS(PEÇAS!$AT$14:$AT$1001,PEÇAS!$G$14:$G$1001,AH9)/(1200*3000),0)*20))</f>
        <v>0</v>
      </c>
      <c r="BJ9" s="191" t="s">
        <v>78</v>
      </c>
      <c r="BK9" s="192"/>
      <c r="BL9" s="192"/>
      <c r="BM9" s="193">
        <v>0.5</v>
      </c>
    </row>
    <row r="10" spans="1:65" x14ac:dyDescent="0.25">
      <c r="B10" s="194" t="s">
        <v>33</v>
      </c>
      <c r="C10" s="195"/>
      <c r="E10" s="174">
        <v>2.65</v>
      </c>
      <c r="F10" s="175">
        <v>20000</v>
      </c>
      <c r="G10" s="175">
        <f t="shared" si="4"/>
        <v>17000</v>
      </c>
      <c r="H10" s="175"/>
      <c r="I10" s="175">
        <v>45</v>
      </c>
      <c r="J10" s="160">
        <f t="shared" si="1"/>
        <v>8</v>
      </c>
      <c r="K10" s="176">
        <v>2.65</v>
      </c>
      <c r="L10" s="175">
        <v>5200</v>
      </c>
      <c r="M10" s="175">
        <f t="shared" si="5"/>
        <v>4420</v>
      </c>
      <c r="N10" s="175"/>
      <c r="O10" s="175">
        <v>45</v>
      </c>
      <c r="P10" s="177"/>
      <c r="Q10" s="178">
        <v>2.65</v>
      </c>
      <c r="R10" s="179">
        <v>36000</v>
      </c>
      <c r="S10" s="179">
        <f t="shared" si="0"/>
        <v>30600</v>
      </c>
      <c r="U10" s="155">
        <f t="shared" si="2"/>
        <v>111</v>
      </c>
      <c r="V10" s="186" t="s">
        <v>19</v>
      </c>
      <c r="W10" s="187">
        <v>23</v>
      </c>
      <c r="X10" s="187">
        <v>32</v>
      </c>
      <c r="Y10" s="187">
        <v>36</v>
      </c>
      <c r="Z10" s="187">
        <v>39</v>
      </c>
      <c r="AB10" s="183">
        <v>4.25</v>
      </c>
      <c r="AC10" s="188">
        <v>5</v>
      </c>
      <c r="AE10" s="95">
        <f t="shared" si="3"/>
        <v>8</v>
      </c>
      <c r="AF10" s="96" t="s">
        <v>141</v>
      </c>
      <c r="AG10" s="96">
        <v>0</v>
      </c>
      <c r="AH10" s="96">
        <v>2.65</v>
      </c>
      <c r="AI10" s="95">
        <f>IF(COUNTIF(PEÇAS!$G$14:$G$1001,AH10)&gt;0,1,0)</f>
        <v>0</v>
      </c>
      <c r="AJ10" s="95">
        <f>IF(OR(AH10="",AI10=0),0,IF(SUMIFS(PEÇAS!$AT$14:$AT$1001,PEÇAS!$G$14:$G$1001,AH10)=0,0,ROUNDUP(SUMIFS(PEÇAS!$AT$14:$AT$1001,PEÇAS!$G$14:$G$1001,AH10)/(1200*3000),0)*20))</f>
        <v>0</v>
      </c>
      <c r="AM10" s="207"/>
      <c r="BJ10" s="196" t="s">
        <v>79</v>
      </c>
      <c r="BK10" s="197"/>
      <c r="BL10" s="197"/>
      <c r="BM10" s="198">
        <v>0.2</v>
      </c>
    </row>
    <row r="11" spans="1:65" ht="12" thickBot="1" x14ac:dyDescent="0.3">
      <c r="A11" s="199">
        <v>4.75</v>
      </c>
      <c r="B11" s="200">
        <v>4.75</v>
      </c>
      <c r="C11" s="201">
        <v>100</v>
      </c>
      <c r="E11" s="174">
        <v>3</v>
      </c>
      <c r="F11" s="175">
        <v>15000</v>
      </c>
      <c r="G11" s="175">
        <f t="shared" si="4"/>
        <v>12750</v>
      </c>
      <c r="H11" s="175"/>
      <c r="I11" s="175">
        <v>65</v>
      </c>
      <c r="J11" s="160">
        <f t="shared" si="1"/>
        <v>9</v>
      </c>
      <c r="K11" s="176">
        <v>3</v>
      </c>
      <c r="L11" s="175">
        <v>5150</v>
      </c>
      <c r="M11" s="175">
        <f t="shared" si="5"/>
        <v>4377.5</v>
      </c>
      <c r="N11" s="175"/>
      <c r="O11" s="175">
        <v>65</v>
      </c>
      <c r="P11" s="177"/>
      <c r="Q11" s="178">
        <v>3</v>
      </c>
      <c r="R11" s="179">
        <v>36000</v>
      </c>
      <c r="S11" s="179">
        <f t="shared" si="0"/>
        <v>30600</v>
      </c>
      <c r="U11" s="155">
        <f t="shared" si="2"/>
        <v>131</v>
      </c>
      <c r="V11" s="186" t="s">
        <v>20</v>
      </c>
      <c r="W11" s="187">
        <v>26</v>
      </c>
      <c r="X11" s="187">
        <v>36</v>
      </c>
      <c r="Y11" s="187">
        <v>40</v>
      </c>
      <c r="Z11" s="187">
        <v>43</v>
      </c>
      <c r="AB11" s="183">
        <v>3.75</v>
      </c>
      <c r="AC11" s="188">
        <v>5</v>
      </c>
      <c r="AE11" s="95">
        <f t="shared" si="3"/>
        <v>9</v>
      </c>
      <c r="AF11" s="96" t="s">
        <v>142</v>
      </c>
      <c r="AG11" s="96">
        <v>0</v>
      </c>
      <c r="AH11" s="96">
        <v>3</v>
      </c>
      <c r="AI11" s="95">
        <f>IF(COUNTIF(PEÇAS!$G$14:$G$1001,AH11)&gt;0,1,0)</f>
        <v>0</v>
      </c>
      <c r="AJ11" s="95">
        <f>IF(OR(AH11="",AI11=0),0,IF(SUMIFS(PEÇAS!$AT$14:$AT$1001,PEÇAS!$G$14:$G$1001,AH11)=0,0,ROUNDUP(SUMIFS(PEÇAS!$AT$14:$AT$1001,PEÇAS!$G$14:$G$1001,AH11)/(1200*3000),0)*20))</f>
        <v>0</v>
      </c>
      <c r="BJ11" s="196" t="s">
        <v>80</v>
      </c>
      <c r="BK11" s="197"/>
      <c r="BL11" s="197"/>
      <c r="BM11" s="198">
        <v>0.3</v>
      </c>
    </row>
    <row r="12" spans="1:65" ht="12" thickBot="1" x14ac:dyDescent="0.3">
      <c r="A12" s="199">
        <v>9.5</v>
      </c>
      <c r="B12" s="184">
        <v>9.5</v>
      </c>
      <c r="C12" s="173">
        <v>100</v>
      </c>
      <c r="E12" s="174">
        <v>3.35</v>
      </c>
      <c r="F12" s="175">
        <v>15000</v>
      </c>
      <c r="G12" s="175">
        <f t="shared" si="4"/>
        <v>12750</v>
      </c>
      <c r="H12" s="175"/>
      <c r="I12" s="175"/>
      <c r="J12" s="160">
        <f t="shared" si="1"/>
        <v>10</v>
      </c>
      <c r="K12" s="176">
        <v>3.15</v>
      </c>
      <c r="L12" s="175">
        <v>3600</v>
      </c>
      <c r="M12" s="175">
        <f t="shared" si="5"/>
        <v>3060</v>
      </c>
      <c r="N12" s="175"/>
      <c r="O12" s="175"/>
      <c r="P12" s="177"/>
      <c r="Q12" s="178">
        <v>3.35</v>
      </c>
      <c r="R12" s="179">
        <v>36000</v>
      </c>
      <c r="S12" s="179">
        <f t="shared" si="0"/>
        <v>30600</v>
      </c>
      <c r="U12" s="155">
        <f t="shared" si="2"/>
        <v>151</v>
      </c>
      <c r="V12" s="186" t="s">
        <v>21</v>
      </c>
      <c r="W12" s="187">
        <v>29</v>
      </c>
      <c r="X12" s="187">
        <v>40</v>
      </c>
      <c r="Y12" s="187">
        <v>44</v>
      </c>
      <c r="Z12" s="187">
        <v>47</v>
      </c>
      <c r="AB12" s="183">
        <v>3.35</v>
      </c>
      <c r="AC12" s="188">
        <v>5</v>
      </c>
      <c r="AE12" s="95">
        <f t="shared" si="3"/>
        <v>10</v>
      </c>
      <c r="AF12" s="96" t="s">
        <v>143</v>
      </c>
      <c r="AG12" s="96">
        <v>0</v>
      </c>
      <c r="AH12" s="96">
        <v>3.15</v>
      </c>
      <c r="AI12" s="95">
        <f>IF(COUNTIF(PEÇAS!$G$14:$G$1001,AH12)&gt;0,1,0)</f>
        <v>0</v>
      </c>
      <c r="AJ12" s="95">
        <f>IF(OR(AH12="",AI12=0),0,IF(SUMIFS(PEÇAS!$AT$14:$AT$1001,PEÇAS!$G$14:$G$1001,AH12)=0,0,ROUNDUP(SUMIFS(PEÇAS!$AT$14:$AT$1001,PEÇAS!$G$14:$G$1001,AH12)/(1200*3000),0)*20))</f>
        <v>0</v>
      </c>
      <c r="BJ12" s="202" t="s">
        <v>81</v>
      </c>
      <c r="BK12" s="203"/>
      <c r="BL12" s="203"/>
      <c r="BM12" s="204">
        <f>SUM(BM9:BM11)</f>
        <v>1</v>
      </c>
    </row>
    <row r="13" spans="1:65" x14ac:dyDescent="0.25">
      <c r="A13" s="199">
        <v>10.5</v>
      </c>
      <c r="B13" s="184">
        <v>9.6</v>
      </c>
      <c r="C13" s="173">
        <v>100</v>
      </c>
      <c r="E13" s="174">
        <v>3.35</v>
      </c>
      <c r="F13" s="175">
        <v>15000</v>
      </c>
      <c r="G13" s="175">
        <v>3485</v>
      </c>
      <c r="H13" s="175"/>
      <c r="I13" s="175"/>
      <c r="J13" s="160">
        <f t="shared" si="1"/>
        <v>11</v>
      </c>
      <c r="K13" s="176">
        <v>3.35</v>
      </c>
      <c r="L13" s="175">
        <v>3600</v>
      </c>
      <c r="M13" s="175">
        <v>3485</v>
      </c>
      <c r="N13" s="175"/>
      <c r="O13" s="175"/>
      <c r="P13" s="177"/>
      <c r="Q13" s="178">
        <v>3.35</v>
      </c>
      <c r="R13" s="179">
        <v>36000</v>
      </c>
      <c r="S13" s="179">
        <f t="shared" si="0"/>
        <v>30600</v>
      </c>
      <c r="U13" s="155">
        <f t="shared" si="2"/>
        <v>171</v>
      </c>
      <c r="V13" s="186" t="s">
        <v>22</v>
      </c>
      <c r="W13" s="187">
        <v>32</v>
      </c>
      <c r="X13" s="187">
        <v>44</v>
      </c>
      <c r="Y13" s="187">
        <v>48</v>
      </c>
      <c r="Z13" s="187">
        <v>51</v>
      </c>
      <c r="AB13" s="183">
        <v>3</v>
      </c>
      <c r="AC13" s="188">
        <v>5</v>
      </c>
      <c r="AE13" s="95">
        <f t="shared" si="3"/>
        <v>11</v>
      </c>
      <c r="AF13" s="96" t="s">
        <v>144</v>
      </c>
      <c r="AG13" s="96">
        <v>0</v>
      </c>
      <c r="AH13" s="96">
        <v>3.35</v>
      </c>
      <c r="AI13" s="95">
        <f>IF(COUNTIF(PEÇAS!$G$14:$G$1001,AH13)&gt;0,1,0)</f>
        <v>0</v>
      </c>
      <c r="AJ13" s="95">
        <f>IF(OR(AH13="",AI13=0),0,IF(SUMIFS(PEÇAS!$AT$14:$AT$1001,PEÇAS!$G$14:$G$1001,AH13)=0,0,ROUNDUP(SUMIFS(PEÇAS!$AT$14:$AT$1001,PEÇAS!$G$14:$G$1001,AH13)/(1200*3000),0)*20))</f>
        <v>0</v>
      </c>
    </row>
    <row r="14" spans="1:65" x14ac:dyDescent="0.25">
      <c r="B14" s="199"/>
      <c r="C14" s="199"/>
      <c r="E14" s="174">
        <v>3.75</v>
      </c>
      <c r="F14" s="175">
        <v>11000</v>
      </c>
      <c r="G14" s="175">
        <f t="shared" ref="G14:G22" si="7">F14*0.85</f>
        <v>9350</v>
      </c>
      <c r="H14" s="175"/>
      <c r="I14" s="175"/>
      <c r="J14" s="160">
        <f t="shared" si="1"/>
        <v>12</v>
      </c>
      <c r="K14" s="176">
        <v>3.75</v>
      </c>
      <c r="L14" s="175">
        <v>3600</v>
      </c>
      <c r="M14" s="175">
        <f>L14*0.85</f>
        <v>3060</v>
      </c>
      <c r="N14" s="175"/>
      <c r="O14" s="175"/>
      <c r="P14" s="177"/>
      <c r="Q14" s="178">
        <v>3.75</v>
      </c>
      <c r="R14" s="179">
        <v>36000</v>
      </c>
      <c r="S14" s="179">
        <f t="shared" si="0"/>
        <v>30600</v>
      </c>
      <c r="U14" s="155">
        <f t="shared" si="2"/>
        <v>191</v>
      </c>
      <c r="V14" s="186" t="s">
        <v>23</v>
      </c>
      <c r="W14" s="187">
        <v>35</v>
      </c>
      <c r="X14" s="187">
        <v>48</v>
      </c>
      <c r="Y14" s="187">
        <v>52</v>
      </c>
      <c r="Z14" s="187">
        <v>55</v>
      </c>
      <c r="AB14" s="183">
        <v>12.7</v>
      </c>
      <c r="AC14" s="188">
        <v>5</v>
      </c>
      <c r="AE14" s="95">
        <f t="shared" si="3"/>
        <v>12</v>
      </c>
      <c r="AF14" s="96" t="s">
        <v>145</v>
      </c>
      <c r="AG14" s="96">
        <v>0</v>
      </c>
      <c r="AH14" s="96">
        <v>3.75</v>
      </c>
      <c r="AI14" s="95">
        <f>IF(COUNTIF(PEÇAS!$G$14:$G$1001,AH14)&gt;0,1,0)</f>
        <v>0</v>
      </c>
      <c r="AJ14" s="95">
        <f>IF(OR(AH14="",AI14=0),0,IF(SUMIFS(PEÇAS!$AT$14:$AT$1001,PEÇAS!$G$14:$G$1001,AH14)=0,0,ROUNDUP(SUMIFS(PEÇAS!$AT$14:$AT$1001,PEÇAS!$G$14:$G$1001,AH14)/(1200*3000),0)*20))</f>
        <v>0</v>
      </c>
    </row>
    <row r="15" spans="1:65" x14ac:dyDescent="0.25">
      <c r="B15" s="194" t="s">
        <v>34</v>
      </c>
      <c r="C15" s="195"/>
      <c r="E15" s="174">
        <v>3.75</v>
      </c>
      <c r="F15" s="175">
        <v>11000</v>
      </c>
      <c r="G15" s="175">
        <f t="shared" si="7"/>
        <v>9350</v>
      </c>
      <c r="H15" s="175"/>
      <c r="I15" s="175"/>
      <c r="J15" s="160">
        <f t="shared" si="1"/>
        <v>13</v>
      </c>
      <c r="K15" s="176">
        <v>3.85</v>
      </c>
      <c r="L15" s="175">
        <v>3600</v>
      </c>
      <c r="M15" s="175">
        <v>3485</v>
      </c>
      <c r="N15" s="175"/>
      <c r="O15" s="175"/>
      <c r="P15" s="177"/>
      <c r="Q15" s="178">
        <v>3.75</v>
      </c>
      <c r="R15" s="179">
        <v>36000</v>
      </c>
      <c r="S15" s="179">
        <f t="shared" si="0"/>
        <v>30600</v>
      </c>
      <c r="U15" s="155">
        <f t="shared" si="2"/>
        <v>211</v>
      </c>
      <c r="V15" s="186" t="s">
        <v>24</v>
      </c>
      <c r="W15" s="187">
        <v>38</v>
      </c>
      <c r="X15" s="187">
        <v>52</v>
      </c>
      <c r="Y15" s="187">
        <v>56</v>
      </c>
      <c r="Z15" s="187">
        <v>59</v>
      </c>
      <c r="AB15" s="183">
        <v>9.5299999999999994</v>
      </c>
      <c r="AC15" s="188">
        <v>5</v>
      </c>
      <c r="AE15" s="95">
        <f t="shared" si="3"/>
        <v>13</v>
      </c>
      <c r="AF15" s="96" t="s">
        <v>146</v>
      </c>
      <c r="AG15" s="96">
        <v>0</v>
      </c>
      <c r="AH15" s="96">
        <v>3.85</v>
      </c>
      <c r="AI15" s="95">
        <f>IF(COUNTIF(PEÇAS!$G$14:$G$1001,AH15)&gt;0,1,0)</f>
        <v>0</v>
      </c>
      <c r="AJ15" s="95">
        <f>IF(OR(AH15="",AI15=0),0,IF(SUMIFS(PEÇAS!$AT$14:$AT$1001,PEÇAS!$G$14:$G$1001,AH15)=0,0,ROUNDUP(SUMIFS(PEÇAS!$AT$14:$AT$1001,PEÇAS!$G$14:$G$1001,AH15)/(1200*3000),0)*20))</f>
        <v>0</v>
      </c>
    </row>
    <row r="16" spans="1:65" x14ac:dyDescent="0.25">
      <c r="B16" s="200" t="s">
        <v>35</v>
      </c>
      <c r="C16" s="201" t="s">
        <v>36</v>
      </c>
      <c r="E16" s="174">
        <v>4.25</v>
      </c>
      <c r="F16" s="175">
        <v>11000</v>
      </c>
      <c r="G16" s="175">
        <f t="shared" si="7"/>
        <v>9350</v>
      </c>
      <c r="H16" s="175"/>
      <c r="I16" s="175"/>
      <c r="J16" s="160">
        <f t="shared" si="1"/>
        <v>14</v>
      </c>
      <c r="K16" s="176">
        <v>4.25</v>
      </c>
      <c r="L16" s="175">
        <v>3600</v>
      </c>
      <c r="M16" s="175">
        <v>3485</v>
      </c>
      <c r="N16" s="175"/>
      <c r="O16" s="175"/>
      <c r="P16" s="177"/>
      <c r="Q16" s="178">
        <v>4.25</v>
      </c>
      <c r="R16" s="179">
        <v>36000</v>
      </c>
      <c r="S16" s="179">
        <f t="shared" si="0"/>
        <v>30600</v>
      </c>
      <c r="U16" s="155">
        <f t="shared" si="2"/>
        <v>231</v>
      </c>
      <c r="V16" s="186" t="s">
        <v>25</v>
      </c>
      <c r="W16" s="187">
        <v>41</v>
      </c>
      <c r="X16" s="187">
        <v>56</v>
      </c>
      <c r="Y16" s="187">
        <v>60</v>
      </c>
      <c r="Z16" s="187">
        <v>63</v>
      </c>
      <c r="AB16" s="183">
        <v>7.94</v>
      </c>
      <c r="AC16" s="188">
        <v>5</v>
      </c>
      <c r="AE16" s="95">
        <f t="shared" si="3"/>
        <v>14</v>
      </c>
      <c r="AF16" s="96" t="s">
        <v>147</v>
      </c>
      <c r="AG16" s="96">
        <v>0</v>
      </c>
      <c r="AH16" s="96">
        <v>4.25</v>
      </c>
      <c r="AI16" s="95">
        <f>IF(COUNTIF(PEÇAS!$G$14:$G$1001,AH16)&gt;0,1,0)</f>
        <v>0</v>
      </c>
      <c r="AJ16" s="95">
        <f>IF(OR(AH16="",AI16=0),0,IF(SUMIFS(PEÇAS!$AT$14:$AT$1001,PEÇAS!$G$14:$G$1001,AH16)=0,0,ROUNDUP(SUMIFS(PEÇAS!$AT$14:$AT$1001,PEÇAS!$G$14:$G$1001,AH16)/(1200*3000),0)*20))</f>
        <v>0</v>
      </c>
    </row>
    <row r="17" spans="2:36" x14ac:dyDescent="0.25">
      <c r="B17" s="184" t="s">
        <v>37</v>
      </c>
      <c r="C17" s="173" t="s">
        <v>38</v>
      </c>
      <c r="E17" s="174">
        <v>4.75</v>
      </c>
      <c r="F17" s="175">
        <v>8500</v>
      </c>
      <c r="G17" s="175">
        <f t="shared" si="7"/>
        <v>7225</v>
      </c>
      <c r="H17" s="175"/>
      <c r="I17" s="175"/>
      <c r="J17" s="160">
        <f t="shared" si="1"/>
        <v>15</v>
      </c>
      <c r="K17" s="176">
        <v>4.75</v>
      </c>
      <c r="L17" s="175">
        <v>3600</v>
      </c>
      <c r="M17" s="175">
        <v>3485</v>
      </c>
      <c r="N17" s="175"/>
      <c r="O17" s="175"/>
      <c r="P17" s="177"/>
      <c r="Q17" s="178">
        <v>4.75</v>
      </c>
      <c r="R17" s="179">
        <v>36000</v>
      </c>
      <c r="S17" s="179">
        <f>R17*0.85</f>
        <v>30600</v>
      </c>
      <c r="U17" s="155">
        <f t="shared" si="2"/>
        <v>251</v>
      </c>
      <c r="V17" s="186" t="s">
        <v>26</v>
      </c>
      <c r="W17" s="187">
        <v>44</v>
      </c>
      <c r="X17" s="187">
        <v>60</v>
      </c>
      <c r="Y17" s="187">
        <v>64</v>
      </c>
      <c r="Z17" s="187">
        <v>67</v>
      </c>
      <c r="AB17" s="183">
        <v>6.35</v>
      </c>
      <c r="AC17" s="188">
        <v>5</v>
      </c>
      <c r="AE17" s="95">
        <f t="shared" si="3"/>
        <v>15</v>
      </c>
      <c r="AF17" s="96" t="s">
        <v>148</v>
      </c>
      <c r="AG17" s="96">
        <v>0</v>
      </c>
      <c r="AH17" s="96">
        <v>4.75</v>
      </c>
      <c r="AI17" s="95">
        <f>IF(COUNTIF(PEÇAS!$G$14:$G$1001,AH17)&gt;0,1,0)</f>
        <v>0</v>
      </c>
      <c r="AJ17" s="95">
        <f>IF(OR(AH17="",AI17=0),0,IF(SUMIFS(PEÇAS!$AT$14:$AT$1001,PEÇAS!$G$14:$G$1001,AH17)=0,0,ROUNDUP(SUMIFS(PEÇAS!$AT$14:$AT$1001,PEÇAS!$G$14:$G$1001,AH17)/(1200*3000),0)*20))</f>
        <v>0</v>
      </c>
    </row>
    <row r="18" spans="2:36" x14ac:dyDescent="0.25">
      <c r="B18" s="184" t="s">
        <v>39</v>
      </c>
      <c r="C18" s="185" t="s">
        <v>40</v>
      </c>
      <c r="E18" s="174">
        <v>6.35</v>
      </c>
      <c r="F18" s="175">
        <v>2400</v>
      </c>
      <c r="G18" s="175">
        <f t="shared" si="7"/>
        <v>2040</v>
      </c>
      <c r="H18" s="175"/>
      <c r="I18" s="175">
        <v>105</v>
      </c>
      <c r="J18" s="160">
        <f t="shared" si="1"/>
        <v>16</v>
      </c>
      <c r="K18" s="176">
        <v>6.35</v>
      </c>
      <c r="L18" s="175">
        <v>4100</v>
      </c>
      <c r="M18" s="175">
        <v>3060</v>
      </c>
      <c r="N18" s="175"/>
      <c r="O18" s="175">
        <v>105</v>
      </c>
      <c r="P18" s="177"/>
      <c r="Q18" s="178">
        <v>6.35</v>
      </c>
      <c r="R18" s="179">
        <v>36000</v>
      </c>
      <c r="S18" s="179">
        <f t="shared" si="0"/>
        <v>30600</v>
      </c>
      <c r="U18" s="155">
        <f t="shared" si="2"/>
        <v>271</v>
      </c>
      <c r="V18" s="186" t="s">
        <v>27</v>
      </c>
      <c r="W18" s="187">
        <v>47</v>
      </c>
      <c r="X18" s="187">
        <v>64</v>
      </c>
      <c r="Y18" s="187">
        <v>68</v>
      </c>
      <c r="Z18" s="187">
        <v>71</v>
      </c>
      <c r="AB18" s="183">
        <v>15.88</v>
      </c>
      <c r="AC18" s="188">
        <v>5.45</v>
      </c>
      <c r="AE18" s="95">
        <f t="shared" si="3"/>
        <v>16</v>
      </c>
      <c r="AF18" s="96" t="s">
        <v>149</v>
      </c>
      <c r="AG18" s="96">
        <v>0</v>
      </c>
      <c r="AH18" s="96">
        <v>6.35</v>
      </c>
      <c r="AI18" s="95">
        <f>IF(COUNTIF(PEÇAS!$G$14:$G$1001,AH18)&gt;0,1,0)</f>
        <v>1</v>
      </c>
      <c r="AJ18" s="95">
        <f>IF(OR(AH18="",AI18=0),0,IF(SUMIFS(PEÇAS!$AT$14:$AT$1001,PEÇAS!$G$14:$G$1001,AH18)=0,0,ROUNDUP(SUMIFS(PEÇAS!$AT$14:$AT$1001,PEÇAS!$G$14:$G$1001,AH18)/(1200*3000),0)*20))</f>
        <v>20</v>
      </c>
    </row>
    <row r="19" spans="2:36" x14ac:dyDescent="0.25">
      <c r="B19" s="199"/>
      <c r="C19" s="199"/>
      <c r="E19" s="174">
        <v>7.94</v>
      </c>
      <c r="F19" s="175">
        <v>2200</v>
      </c>
      <c r="G19" s="175">
        <f t="shared" si="7"/>
        <v>1870</v>
      </c>
      <c r="H19" s="175"/>
      <c r="I19" s="175"/>
      <c r="J19" s="160">
        <f t="shared" si="1"/>
        <v>17</v>
      </c>
      <c r="K19" s="176">
        <v>7.94</v>
      </c>
      <c r="L19" s="175">
        <v>3200</v>
      </c>
      <c r="M19" s="175">
        <f t="shared" ref="M19:M27" si="8">L19*0.85</f>
        <v>2720</v>
      </c>
      <c r="N19" s="175"/>
      <c r="O19" s="175"/>
      <c r="P19" s="177"/>
      <c r="Q19" s="178">
        <v>7.94</v>
      </c>
      <c r="R19" s="179">
        <v>36000</v>
      </c>
      <c r="S19" s="179">
        <f t="shared" si="0"/>
        <v>30600</v>
      </c>
      <c r="AB19" s="183">
        <v>19.04</v>
      </c>
      <c r="AC19" s="188">
        <v>5.6</v>
      </c>
      <c r="AE19" s="95">
        <f t="shared" si="3"/>
        <v>17</v>
      </c>
      <c r="AF19" s="96" t="s">
        <v>150</v>
      </c>
      <c r="AG19" s="96">
        <v>0</v>
      </c>
      <c r="AH19" s="96">
        <v>7.94</v>
      </c>
      <c r="AI19" s="95">
        <f>IF(COUNTIF(PEÇAS!$G$14:$G$1001,AH19)&gt;0,1,0)</f>
        <v>0</v>
      </c>
      <c r="AJ19" s="95">
        <f>IF(OR(AH19="",AI19=0),0,IF(SUMIFS(PEÇAS!$AT$14:$AT$1001,PEÇAS!$G$14:$G$1001,AH19)=0,0,ROUNDUP(SUMIFS(PEÇAS!$AT$14:$AT$1001,PEÇAS!$G$14:$G$1001,AH19)/(1200*3000),0)*20))</f>
        <v>0</v>
      </c>
    </row>
    <row r="20" spans="2:36" x14ac:dyDescent="0.25">
      <c r="B20" s="199"/>
      <c r="C20" s="199"/>
      <c r="E20" s="174">
        <v>9.5299999999999994</v>
      </c>
      <c r="F20" s="175">
        <v>1900</v>
      </c>
      <c r="G20" s="175">
        <f t="shared" si="7"/>
        <v>1615</v>
      </c>
      <c r="H20" s="175">
        <v>700</v>
      </c>
      <c r="I20" s="175"/>
      <c r="J20" s="160">
        <f t="shared" si="1"/>
        <v>18</v>
      </c>
      <c r="K20" s="176">
        <v>9.5299999999999994</v>
      </c>
      <c r="L20" s="175">
        <v>2200</v>
      </c>
      <c r="M20" s="175">
        <f t="shared" si="8"/>
        <v>1870</v>
      </c>
      <c r="N20" s="175">
        <v>700</v>
      </c>
      <c r="O20" s="175"/>
      <c r="P20" s="177"/>
      <c r="Q20" s="178">
        <v>9.5299999999999994</v>
      </c>
      <c r="R20" s="179"/>
      <c r="S20" s="179">
        <f t="shared" si="0"/>
        <v>0</v>
      </c>
      <c r="AB20" s="183">
        <v>22.22</v>
      </c>
      <c r="AC20" s="188">
        <v>6.3</v>
      </c>
      <c r="AE20" s="95">
        <f t="shared" si="3"/>
        <v>18</v>
      </c>
      <c r="AF20" s="96" t="s">
        <v>151</v>
      </c>
      <c r="AG20" s="96">
        <v>0.21</v>
      </c>
      <c r="AH20" s="96">
        <v>9.5299999999999994</v>
      </c>
      <c r="AI20" s="95">
        <f>IF(COUNTIF(PEÇAS!$G$14:$G$1001,AH20)&gt;0,1,0)</f>
        <v>0</v>
      </c>
      <c r="AJ20" s="95">
        <f>IF(OR(AH20="",AI20=0),0,IF(SUMIFS(PEÇAS!$AT$14:$AT$1001,PEÇAS!$G$14:$G$1001,AH20)=0,0,ROUNDUP(SUMIFS(PEÇAS!$AT$14:$AT$1001,PEÇAS!$G$14:$G$1001,AH20)/(1200*3000),0)*20))</f>
        <v>0</v>
      </c>
    </row>
    <row r="21" spans="2:36" x14ac:dyDescent="0.25">
      <c r="B21" s="199"/>
      <c r="C21" s="199"/>
      <c r="E21" s="174">
        <v>12.7</v>
      </c>
      <c r="F21" s="175">
        <v>1500</v>
      </c>
      <c r="G21" s="175">
        <f t="shared" si="7"/>
        <v>1275</v>
      </c>
      <c r="H21" s="175"/>
      <c r="I21" s="175">
        <v>125</v>
      </c>
      <c r="J21" s="160">
        <f t="shared" si="1"/>
        <v>19</v>
      </c>
      <c r="K21" s="176">
        <v>12.7</v>
      </c>
      <c r="L21" s="175">
        <v>2050</v>
      </c>
      <c r="M21" s="175">
        <f t="shared" si="8"/>
        <v>1742.5</v>
      </c>
      <c r="N21" s="175"/>
      <c r="O21" s="175">
        <v>125</v>
      </c>
      <c r="P21" s="177"/>
      <c r="Q21" s="178">
        <v>12.7</v>
      </c>
      <c r="R21" s="179"/>
      <c r="S21" s="179">
        <f t="shared" si="0"/>
        <v>0</v>
      </c>
      <c r="AB21" s="183">
        <v>25.4</v>
      </c>
      <c r="AC21" s="188">
        <v>6.3</v>
      </c>
      <c r="AE21" s="95">
        <f t="shared" si="3"/>
        <v>19</v>
      </c>
      <c r="AF21" s="96" t="s">
        <v>152</v>
      </c>
      <c r="AG21" s="96">
        <v>7.3144444444444442E-2</v>
      </c>
      <c r="AH21" s="96">
        <v>12.7</v>
      </c>
      <c r="AI21" s="95">
        <f>IF(COUNTIF(PEÇAS!$G$14:$G$1001,AH21)&gt;0,1,0)</f>
        <v>0</v>
      </c>
      <c r="AJ21" s="95">
        <f>IF(OR(AH21="",AI21=0),0,IF(SUMIFS(PEÇAS!$AT$14:$AT$1001,PEÇAS!$G$14:$G$1001,AH21)=0,0,ROUNDUP(SUMIFS(PEÇAS!$AT$14:$AT$1001,PEÇAS!$G$14:$G$1001,AH21)/(1200*3000),0)*20))</f>
        <v>0</v>
      </c>
    </row>
    <row r="22" spans="2:36" x14ac:dyDescent="0.25">
      <c r="B22" s="194" t="s">
        <v>41</v>
      </c>
      <c r="C22" s="195"/>
      <c r="E22" s="174">
        <v>15.88</v>
      </c>
      <c r="F22" s="175">
        <v>1200</v>
      </c>
      <c r="G22" s="175">
        <f t="shared" si="7"/>
        <v>1020</v>
      </c>
      <c r="H22" s="175"/>
      <c r="I22" s="175"/>
      <c r="J22" s="160">
        <f t="shared" si="1"/>
        <v>20</v>
      </c>
      <c r="K22" s="176">
        <v>15.88</v>
      </c>
      <c r="L22" s="175">
        <v>1250</v>
      </c>
      <c r="M22" s="175">
        <f t="shared" si="8"/>
        <v>1062.5</v>
      </c>
      <c r="N22" s="175"/>
      <c r="O22" s="175"/>
      <c r="P22" s="177"/>
      <c r="Q22" s="178">
        <v>15.88</v>
      </c>
      <c r="R22" s="179"/>
      <c r="S22" s="179">
        <f t="shared" si="0"/>
        <v>0</v>
      </c>
      <c r="AB22" s="183">
        <v>32</v>
      </c>
      <c r="AC22" s="188">
        <v>6.8</v>
      </c>
      <c r="AE22" s="95">
        <f t="shared" si="3"/>
        <v>20</v>
      </c>
      <c r="AF22" s="96" t="s">
        <v>153</v>
      </c>
      <c r="AG22" s="96">
        <v>7.0000000000000007E-2</v>
      </c>
      <c r="AH22" s="96">
        <v>15.88</v>
      </c>
      <c r="AI22" s="95">
        <f>IF(COUNTIF(PEÇAS!$G$14:$G$1001,AH22)&gt;0,1,0)</f>
        <v>0</v>
      </c>
      <c r="AJ22" s="95">
        <f>IF(OR(AH22="",AI22=0),0,IF(SUMIFS(PEÇAS!$AT$14:$AT$1001,PEÇAS!$G$14:$G$1001,AH22)=0,0,ROUNDUP(SUMIFS(PEÇAS!$AT$14:$AT$1001,PEÇAS!$G$14:$G$1001,AH22)/(1200*3000),0)*20))</f>
        <v>0</v>
      </c>
    </row>
    <row r="23" spans="2:36" x14ac:dyDescent="0.25">
      <c r="B23" s="200" t="s">
        <v>42</v>
      </c>
      <c r="C23" s="201" t="s">
        <v>43</v>
      </c>
      <c r="J23" s="160">
        <f t="shared" si="1"/>
        <v>21</v>
      </c>
      <c r="K23" s="176">
        <v>19.04</v>
      </c>
      <c r="L23" s="175">
        <v>900</v>
      </c>
      <c r="M23" s="175">
        <f t="shared" si="8"/>
        <v>765</v>
      </c>
      <c r="N23" s="175"/>
      <c r="O23" s="175"/>
      <c r="P23" s="177"/>
      <c r="Q23" s="178">
        <v>19.04</v>
      </c>
      <c r="R23" s="179"/>
      <c r="S23" s="179">
        <f t="shared" si="0"/>
        <v>0</v>
      </c>
      <c r="AB23" s="183">
        <v>50.8</v>
      </c>
      <c r="AC23" s="188">
        <v>6.8</v>
      </c>
      <c r="AE23" s="95">
        <f t="shared" si="3"/>
        <v>21</v>
      </c>
      <c r="AF23" s="96" t="s">
        <v>154</v>
      </c>
      <c r="AG23" s="96">
        <v>0</v>
      </c>
      <c r="AH23" s="96">
        <v>19.04</v>
      </c>
      <c r="AI23" s="95">
        <f>IF(COUNTIF(PEÇAS!$G$14:$G$1001,AH23)&gt;0,1,0)</f>
        <v>0</v>
      </c>
      <c r="AJ23" s="95">
        <f>IF(OR(AH23="",AI23=0),0,IF(SUMIFS(PEÇAS!$AT$14:$AT$1001,PEÇAS!$G$14:$G$1001,AH23)=0,0,ROUNDUP(SUMIFS(PEÇAS!$AT$14:$AT$1001,PEÇAS!$G$14:$G$1001,AH23)/(1200*3000),0)*20))</f>
        <v>0</v>
      </c>
    </row>
    <row r="24" spans="2:36" x14ac:dyDescent="0.25">
      <c r="B24" s="184" t="s">
        <v>44</v>
      </c>
      <c r="C24" s="173" t="s">
        <v>45</v>
      </c>
      <c r="J24" s="160">
        <f t="shared" si="1"/>
        <v>22</v>
      </c>
      <c r="K24" s="176">
        <v>22.22</v>
      </c>
      <c r="L24" s="175">
        <v>750</v>
      </c>
      <c r="M24" s="175">
        <f t="shared" si="8"/>
        <v>637.5</v>
      </c>
      <c r="N24" s="175">
        <v>450</v>
      </c>
      <c r="O24" s="175"/>
      <c r="P24" s="177"/>
      <c r="Q24" s="178">
        <v>22.22</v>
      </c>
      <c r="R24" s="179"/>
      <c r="S24" s="179">
        <f t="shared" si="0"/>
        <v>0</v>
      </c>
      <c r="AE24" s="95">
        <f t="shared" si="3"/>
        <v>22</v>
      </c>
      <c r="AF24" s="96" t="s">
        <v>155</v>
      </c>
      <c r="AG24" s="96">
        <v>0</v>
      </c>
      <c r="AH24" s="96">
        <v>22.22</v>
      </c>
      <c r="AI24" s="95">
        <f>IF(COUNTIF(PEÇAS!$G$14:$G$1001,AH24)&gt;0,1,0)</f>
        <v>0</v>
      </c>
      <c r="AJ24" s="95">
        <f>IF(OR(AH24="",AI24=0),0,IF(SUMIFS(PEÇAS!$AT$14:$AT$1001,PEÇAS!$G$14:$G$1001,AH24)=0,0,ROUNDUP(SUMIFS(PEÇAS!$AT$14:$AT$1001,PEÇAS!$G$14:$G$1001,AH24)/(1200*3000),0)*20))</f>
        <v>0</v>
      </c>
    </row>
    <row r="25" spans="2:36" x14ac:dyDescent="0.25">
      <c r="B25" s="184" t="s">
        <v>46</v>
      </c>
      <c r="C25" s="173" t="s">
        <v>47</v>
      </c>
      <c r="J25" s="160">
        <f t="shared" si="1"/>
        <v>23</v>
      </c>
      <c r="K25" s="176">
        <v>25.4</v>
      </c>
      <c r="L25" s="175">
        <v>600</v>
      </c>
      <c r="M25" s="175">
        <f t="shared" si="8"/>
        <v>510</v>
      </c>
      <c r="N25" s="175">
        <v>400</v>
      </c>
      <c r="O25" s="175"/>
      <c r="P25" s="177"/>
      <c r="Q25" s="178">
        <v>25.4</v>
      </c>
      <c r="R25" s="179"/>
      <c r="S25" s="179">
        <f t="shared" si="0"/>
        <v>0</v>
      </c>
      <c r="AE25" s="95">
        <f t="shared" si="3"/>
        <v>23</v>
      </c>
      <c r="AF25" s="96" t="s">
        <v>156</v>
      </c>
      <c r="AG25" s="96">
        <v>0</v>
      </c>
      <c r="AH25" s="96">
        <v>25.4</v>
      </c>
      <c r="AI25" s="95">
        <f>IF(COUNTIF(PEÇAS!$G$14:$G$1001,AH25)&gt;0,1,0)</f>
        <v>0</v>
      </c>
      <c r="AJ25" s="95">
        <f>IF(OR(AH25="",AI25=0),0,IF(SUMIFS(PEÇAS!$AT$14:$AT$1001,PEÇAS!$G$14:$G$1001,AH25)=0,0,ROUNDUP(SUMIFS(PEÇAS!$AT$14:$AT$1001,PEÇAS!$G$14:$G$1001,AH25)/(1200*3000),0)*20))</f>
        <v>0</v>
      </c>
    </row>
    <row r="26" spans="2:36" x14ac:dyDescent="0.25">
      <c r="B26" s="200" t="s">
        <v>48</v>
      </c>
      <c r="C26" s="201" t="s">
        <v>49</v>
      </c>
      <c r="J26" s="160">
        <f t="shared" si="1"/>
        <v>24</v>
      </c>
      <c r="K26" s="176">
        <v>28.7</v>
      </c>
      <c r="L26" s="175">
        <v>600</v>
      </c>
      <c r="M26" s="175">
        <f t="shared" si="8"/>
        <v>510</v>
      </c>
      <c r="N26" s="175"/>
      <c r="O26" s="175"/>
      <c r="P26" s="177"/>
      <c r="Q26" s="178">
        <v>28.7</v>
      </c>
      <c r="R26" s="179"/>
      <c r="S26" s="179">
        <f t="shared" si="0"/>
        <v>0</v>
      </c>
      <c r="AE26" s="95">
        <f t="shared" si="3"/>
        <v>24</v>
      </c>
      <c r="AF26" s="96" t="s">
        <v>157</v>
      </c>
      <c r="AG26" s="96">
        <v>0</v>
      </c>
      <c r="AH26" s="96">
        <v>28.7</v>
      </c>
      <c r="AI26" s="95">
        <f>IF(COUNTIF(PEÇAS!$G$14:$G$1001,AH26)&gt;0,1,0)</f>
        <v>0</v>
      </c>
      <c r="AJ26" s="95">
        <f>IF(OR(AH26="",AI26=0),0,IF(SUMIFS(PEÇAS!$AT$14:$AT$1001,PEÇAS!$G$14:$G$1001,AH26)=0,0,ROUNDUP(SUMIFS(PEÇAS!$AT$14:$AT$1001,PEÇAS!$G$14:$G$1001,AH26)/(1200*3000),0)*20))</f>
        <v>0</v>
      </c>
    </row>
    <row r="27" spans="2:36" x14ac:dyDescent="0.25">
      <c r="B27" s="184" t="s">
        <v>50</v>
      </c>
      <c r="C27" s="173" t="s">
        <v>51</v>
      </c>
      <c r="J27" s="160">
        <f t="shared" si="1"/>
        <v>25</v>
      </c>
      <c r="K27" s="176">
        <v>31.75</v>
      </c>
      <c r="L27" s="175">
        <v>500</v>
      </c>
      <c r="M27" s="175">
        <f t="shared" si="8"/>
        <v>425</v>
      </c>
      <c r="N27" s="175"/>
      <c r="O27" s="175"/>
      <c r="P27" s="177"/>
      <c r="Q27" s="178">
        <v>32</v>
      </c>
      <c r="R27" s="179"/>
      <c r="S27" s="179">
        <f t="shared" si="0"/>
        <v>0</v>
      </c>
      <c r="AE27" s="95">
        <f t="shared" si="3"/>
        <v>25</v>
      </c>
      <c r="AF27" s="96" t="s">
        <v>158</v>
      </c>
      <c r="AG27" s="96">
        <v>0</v>
      </c>
      <c r="AH27" s="96">
        <v>31.75</v>
      </c>
      <c r="AI27" s="95">
        <f>IF(COUNTIF(PEÇAS!$G$14:$G$1001,AH27)&gt;0,1,0)</f>
        <v>0</v>
      </c>
      <c r="AJ27" s="95">
        <f>IF(OR(AH27="",AI27=0),0,IF(SUMIFS(PEÇAS!$AT$14:$AT$1001,PEÇAS!$G$14:$G$1001,AH27)=0,0,ROUNDUP(SUMIFS(PEÇAS!$AT$14:$AT$1001,PEÇAS!$G$14:$G$1001,AH27)/(1200*3000),0)*20))</f>
        <v>0</v>
      </c>
    </row>
    <row r="28" spans="2:36" x14ac:dyDescent="0.25">
      <c r="AE28" s="97">
        <v>26</v>
      </c>
      <c r="AF28" s="96" t="s">
        <v>159</v>
      </c>
      <c r="AG28" s="97">
        <v>0</v>
      </c>
      <c r="AH28" s="96">
        <v>38.1</v>
      </c>
      <c r="AI28" s="95">
        <f>IF(COUNTIF(PEÇAS!$G$14:$G$1001,AH28)&gt;0,1,0)</f>
        <v>0</v>
      </c>
      <c r="AJ28" s="95">
        <f>IF(OR(AH28="",AI28=0),0,IF(SUMIFS(PEÇAS!$AT$14:$AT$1001,PEÇAS!$G$14:$G$1001,AH28)=0,0,ROUNDUP(SUMIFS(PEÇAS!$AT$14:$AT$1001,PEÇAS!$G$14:$G$1001,AH28)/(1200*3000),0)*20))</f>
        <v>0</v>
      </c>
    </row>
  </sheetData>
  <mergeCells count="3">
    <mergeCell ref="AI1:AK1"/>
    <mergeCell ref="AM1:AO1"/>
    <mergeCell ref="AM2:AO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FFFF00"/>
  </sheetPr>
  <dimension ref="A1:L15"/>
  <sheetViews>
    <sheetView topLeftCell="A10" workbookViewId="0">
      <selection activeCell="B44" sqref="B44"/>
    </sheetView>
  </sheetViews>
  <sheetFormatPr defaultRowHeight="16.2" x14ac:dyDescent="0.35"/>
  <cols>
    <col min="1" max="1" width="10.77734375" style="1" bestFit="1" customWidth="1"/>
    <col min="2" max="2" width="22.109375" style="1" bestFit="1" customWidth="1"/>
    <col min="3" max="3" width="7.109375" style="1" bestFit="1" customWidth="1"/>
    <col min="4" max="4" width="14.5546875" style="1" bestFit="1" customWidth="1"/>
    <col min="5" max="5" width="22.109375" style="1" bestFit="1" customWidth="1"/>
    <col min="6" max="7" width="14.5546875" style="1" bestFit="1" customWidth="1"/>
    <col min="8" max="8" width="2.33203125" style="1" customWidth="1"/>
    <col min="9" max="16384" width="8.88671875" style="1"/>
  </cols>
  <sheetData>
    <row r="1" spans="1:12" ht="20.399999999999999" thickBot="1" x14ac:dyDescent="0.45">
      <c r="B1" s="54" t="s">
        <v>74</v>
      </c>
      <c r="I1" s="55" t="s">
        <v>75</v>
      </c>
      <c r="J1" s="56"/>
      <c r="K1" s="57"/>
      <c r="L1" s="58"/>
    </row>
    <row r="2" spans="1:12" ht="16.8" thickBot="1" x14ac:dyDescent="0.4">
      <c r="B2" s="249" t="s">
        <v>56</v>
      </c>
      <c r="C2" s="250"/>
      <c r="D2" s="250"/>
      <c r="E2" s="250"/>
      <c r="F2" s="250"/>
      <c r="G2" s="251"/>
      <c r="I2" s="59" t="s">
        <v>63</v>
      </c>
      <c r="J2" s="60" t="s">
        <v>66</v>
      </c>
      <c r="K2" s="60" t="s">
        <v>64</v>
      </c>
      <c r="L2" s="61" t="s">
        <v>65</v>
      </c>
    </row>
    <row r="3" spans="1:12" ht="16.8" thickBot="1" x14ac:dyDescent="0.4">
      <c r="B3" s="2" t="s">
        <v>57</v>
      </c>
      <c r="C3" s="3" t="s">
        <v>58</v>
      </c>
      <c r="D3" s="4"/>
      <c r="E3" s="5" t="s">
        <v>59</v>
      </c>
      <c r="F3" s="6" t="s">
        <v>60</v>
      </c>
      <c r="G3" s="7">
        <f>F4/E4-1</f>
        <v>1.4</v>
      </c>
      <c r="I3" s="62">
        <v>3.2500000000000001E-2</v>
      </c>
      <c r="J3" s="63">
        <v>0.12</v>
      </c>
      <c r="K3" s="64">
        <v>7.5999999999999998E-2</v>
      </c>
      <c r="L3" s="65">
        <v>1.6500000000000001E-2</v>
      </c>
    </row>
    <row r="4" spans="1:12" ht="16.8" thickBot="1" x14ac:dyDescent="0.4">
      <c r="B4" s="8" t="s">
        <v>61</v>
      </c>
      <c r="C4" s="9" t="s">
        <v>60</v>
      </c>
      <c r="D4" s="10" t="s">
        <v>62</v>
      </c>
      <c r="E4" s="11">
        <v>5</v>
      </c>
      <c r="F4" s="12">
        <v>12</v>
      </c>
      <c r="G4" s="13">
        <f>F4-E4</f>
        <v>7</v>
      </c>
      <c r="I4" s="55" t="s">
        <v>76</v>
      </c>
      <c r="J4" s="56"/>
      <c r="K4" s="57"/>
      <c r="L4" s="58"/>
    </row>
    <row r="5" spans="1:12" ht="16.8" thickBot="1" x14ac:dyDescent="0.4">
      <c r="B5" s="14">
        <v>3.2500000000000001E-2</v>
      </c>
      <c r="C5" s="15">
        <v>0</v>
      </c>
      <c r="D5" s="16" t="s">
        <v>63</v>
      </c>
      <c r="E5" s="17">
        <f>E4-(E4/(1+B5))</f>
        <v>0.15738498789346256</v>
      </c>
      <c r="F5" s="18">
        <f>F4-(F4/(1+C5))</f>
        <v>0</v>
      </c>
      <c r="G5" s="19">
        <f>E5-F5</f>
        <v>0.15738498789346256</v>
      </c>
      <c r="I5" s="66" t="s">
        <v>63</v>
      </c>
      <c r="J5" s="67" t="s">
        <v>66</v>
      </c>
      <c r="K5" s="67" t="s">
        <v>64</v>
      </c>
      <c r="L5" s="68" t="s">
        <v>65</v>
      </c>
    </row>
    <row r="6" spans="1:12" ht="16.8" thickBot="1" x14ac:dyDescent="0.4">
      <c r="B6" s="20">
        <v>7.5999999999999998E-2</v>
      </c>
      <c r="C6" s="21">
        <v>7.5999999999999998E-2</v>
      </c>
      <c r="D6" s="22" t="s">
        <v>64</v>
      </c>
      <c r="E6" s="23">
        <f>((E4/(1+B5))*(1-B8))*B6</f>
        <v>0.3238740920096852</v>
      </c>
      <c r="F6" s="24">
        <f>((F4/(1+C5))*(1-C8))*C6</f>
        <v>0.74783999999999995</v>
      </c>
      <c r="G6" s="25">
        <f>E6-F6</f>
        <v>-0.42396590799031475</v>
      </c>
      <c r="I6" s="69">
        <v>0</v>
      </c>
      <c r="J6" s="70">
        <v>0.18</v>
      </c>
      <c r="K6" s="71">
        <v>7.5999999999999998E-2</v>
      </c>
      <c r="L6" s="72">
        <v>1.6500000000000001E-2</v>
      </c>
    </row>
    <row r="7" spans="1:12" ht="16.8" thickBot="1" x14ac:dyDescent="0.4">
      <c r="B7" s="20">
        <v>1.6500000000000001E-2</v>
      </c>
      <c r="C7" s="21">
        <v>1.6500000000000001E-2</v>
      </c>
      <c r="D7" s="22" t="s">
        <v>65</v>
      </c>
      <c r="E7" s="23">
        <f>((E4/(1+B5))*(1-B8))*B7</f>
        <v>7.0314769975786923E-2</v>
      </c>
      <c r="F7" s="24">
        <f>((F4/(1+C5))*(1-C8))*C7</f>
        <v>0.16236</v>
      </c>
      <c r="G7" s="25">
        <f>E7-F7</f>
        <v>-9.2045230024213082E-2</v>
      </c>
      <c r="I7" s="55" t="s">
        <v>77</v>
      </c>
      <c r="J7" s="56"/>
      <c r="K7" s="57"/>
      <c r="L7" s="58"/>
    </row>
    <row r="8" spans="1:12" ht="16.8" thickBot="1" x14ac:dyDescent="0.4">
      <c r="B8" s="26">
        <v>0.12</v>
      </c>
      <c r="C8" s="27">
        <v>0.18</v>
      </c>
      <c r="D8" s="28" t="s">
        <v>66</v>
      </c>
      <c r="E8" s="29">
        <f>(E4/(1+B5))*B8</f>
        <v>0.58111380145278446</v>
      </c>
      <c r="F8" s="30">
        <f>((F4/(1+C5))*C8)</f>
        <v>2.16</v>
      </c>
      <c r="G8" s="25">
        <f>E8-F8</f>
        <v>-1.5788861985472158</v>
      </c>
      <c r="I8" s="73" t="s">
        <v>78</v>
      </c>
      <c r="J8" s="74"/>
      <c r="K8" s="74"/>
      <c r="L8" s="75">
        <v>0.5</v>
      </c>
    </row>
    <row r="9" spans="1:12" ht="16.8" thickBot="1" x14ac:dyDescent="0.4">
      <c r="B9" s="31"/>
      <c r="C9" s="32"/>
      <c r="D9" s="33">
        <f>F9-E9</f>
        <v>4.8624876513317199</v>
      </c>
      <c r="E9" s="34">
        <f>E4-SUM(E5:E8)</f>
        <v>3.867312348668281</v>
      </c>
      <c r="F9" s="34">
        <f>F4-SUM(F5:F8,(-1*F13))</f>
        <v>8.7298000000000009</v>
      </c>
      <c r="G9" s="13"/>
      <c r="I9" s="76" t="s">
        <v>79</v>
      </c>
      <c r="J9" s="77"/>
      <c r="K9" s="77"/>
      <c r="L9" s="78">
        <v>0.2</v>
      </c>
    </row>
    <row r="10" spans="1:12" ht="16.8" thickBot="1" x14ac:dyDescent="0.4">
      <c r="A10" s="35" t="s">
        <v>67</v>
      </c>
      <c r="B10" s="36">
        <v>0.17</v>
      </c>
      <c r="C10" s="37"/>
      <c r="D10" s="22" t="s">
        <v>68</v>
      </c>
      <c r="E10" s="38">
        <f>E4*B10*-1</f>
        <v>-0.85000000000000009</v>
      </c>
      <c r="F10" s="38"/>
      <c r="G10" s="39">
        <f>E10-F10</f>
        <v>-0.85000000000000009</v>
      </c>
      <c r="I10" s="76" t="s">
        <v>80</v>
      </c>
      <c r="J10" s="77"/>
      <c r="K10" s="77"/>
      <c r="L10" s="78">
        <v>0.3</v>
      </c>
    </row>
    <row r="11" spans="1:12" ht="16.8" thickBot="1" x14ac:dyDescent="0.4">
      <c r="B11" s="40"/>
      <c r="C11" s="41"/>
      <c r="D11" s="22" t="s">
        <v>69</v>
      </c>
      <c r="E11" s="42">
        <v>-1</v>
      </c>
      <c r="F11" s="38"/>
      <c r="G11" s="39">
        <f>E11-F11</f>
        <v>-1</v>
      </c>
      <c r="I11" s="79" t="s">
        <v>81</v>
      </c>
      <c r="J11" s="80"/>
      <c r="K11" s="80"/>
      <c r="L11" s="81">
        <f>SUM(L8:L10)</f>
        <v>1</v>
      </c>
    </row>
    <row r="12" spans="1:12" ht="16.8" thickBot="1" x14ac:dyDescent="0.4">
      <c r="A12" s="35" t="s">
        <v>70</v>
      </c>
      <c r="B12" s="43">
        <v>0.02</v>
      </c>
      <c r="C12" s="37"/>
      <c r="D12" s="22" t="s">
        <v>71</v>
      </c>
      <c r="E12" s="38"/>
      <c r="F12" s="38">
        <f>-1*F4*B12</f>
        <v>-0.24</v>
      </c>
      <c r="G12" s="39">
        <f>F12</f>
        <v>-0.24</v>
      </c>
    </row>
    <row r="13" spans="1:12" x14ac:dyDescent="0.35">
      <c r="B13" s="44"/>
      <c r="C13" s="22"/>
      <c r="D13" s="22" t="s">
        <v>72</v>
      </c>
      <c r="E13" s="22"/>
      <c r="F13" s="42">
        <v>-0.2</v>
      </c>
      <c r="G13" s="39">
        <f>F13</f>
        <v>-0.2</v>
      </c>
    </row>
    <row r="14" spans="1:12" ht="16.8" thickBot="1" x14ac:dyDescent="0.4">
      <c r="B14" s="45"/>
      <c r="C14" s="46"/>
      <c r="D14" s="46"/>
      <c r="E14" s="46"/>
      <c r="F14" s="46"/>
      <c r="G14" s="47">
        <f>SUM(G4,G5:G13)</f>
        <v>2.7724876513317183</v>
      </c>
    </row>
    <row r="15" spans="1:12" ht="16.8" thickBot="1" x14ac:dyDescent="0.4">
      <c r="B15" s="48"/>
      <c r="C15" s="49"/>
      <c r="D15" s="50" t="s">
        <v>73</v>
      </c>
      <c r="E15" s="51"/>
      <c r="F15" s="52"/>
      <c r="G15" s="53">
        <f>G14/F4</f>
        <v>0.23104063761097651</v>
      </c>
    </row>
  </sheetData>
  <mergeCells count="1">
    <mergeCell ref="B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W14"/>
  <sheetViews>
    <sheetView tabSelected="1" workbookViewId="0">
      <pane ySplit="8" topLeftCell="A9" activePane="bottomLeft" state="frozen"/>
      <selection pane="bottomLeft" sqref="A1:R14"/>
    </sheetView>
  </sheetViews>
  <sheetFormatPr defaultRowHeight="13.8" x14ac:dyDescent="0.3"/>
  <cols>
    <col min="1" max="1" width="12.77734375" style="121" customWidth="1"/>
    <col min="2" max="2" width="14.77734375" style="121" customWidth="1"/>
    <col min="3" max="3" width="9.77734375" style="133" customWidth="1"/>
    <col min="4" max="4" width="11.77734375" style="121" customWidth="1"/>
    <col min="5" max="5" width="9.77734375" style="121" customWidth="1"/>
    <col min="6" max="6" width="10.77734375" style="121" customWidth="1"/>
    <col min="7" max="7" width="8.77734375" style="136" customWidth="1"/>
    <col min="8" max="10" width="8.77734375" style="133" customWidth="1"/>
    <col min="11" max="11" width="10.77734375" style="133" customWidth="1"/>
    <col min="12" max="12" width="8.77734375" style="136" customWidth="1"/>
    <col min="13" max="13" width="10.77734375" style="136" customWidth="1"/>
    <col min="14" max="14" width="14.77734375" style="136" customWidth="1"/>
    <col min="15" max="15" width="10.77734375" style="269" customWidth="1"/>
    <col min="16" max="16" width="12.77734375" style="269" customWidth="1"/>
    <col min="17" max="17" width="10.77734375" style="121" customWidth="1"/>
    <col min="18" max="18" width="9.77734375" style="269" customWidth="1"/>
    <col min="19" max="49" width="0" style="121" hidden="1" customWidth="1"/>
    <col min="50" max="16384" width="8.88671875" style="121"/>
  </cols>
  <sheetData>
    <row r="1" spans="1:49" ht="24" customHeight="1" x14ac:dyDescent="0.3">
      <c r="A1" s="258" t="s">
        <v>163</v>
      </c>
      <c r="B1" s="258"/>
      <c r="C1" s="259" t="s">
        <v>164</v>
      </c>
      <c r="D1" s="259"/>
      <c r="E1" s="259"/>
      <c r="F1" s="259"/>
      <c r="G1" s="259"/>
      <c r="H1" s="259"/>
      <c r="I1" s="259"/>
      <c r="J1" s="259"/>
      <c r="K1" s="261" t="s">
        <v>178</v>
      </c>
      <c r="L1" s="261"/>
      <c r="M1" s="261"/>
      <c r="N1" s="261" t="s">
        <v>196</v>
      </c>
      <c r="O1" s="261"/>
      <c r="P1" s="261"/>
      <c r="Q1" s="261"/>
      <c r="R1" s="261"/>
    </row>
    <row r="2" spans="1:49" ht="24" customHeight="1" x14ac:dyDescent="0.3">
      <c r="A2" s="258"/>
      <c r="B2" s="258"/>
      <c r="C2" s="259"/>
      <c r="D2" s="259"/>
      <c r="E2" s="259"/>
      <c r="F2" s="259"/>
      <c r="G2" s="259"/>
      <c r="H2" s="259"/>
      <c r="I2" s="259"/>
      <c r="J2" s="259"/>
      <c r="K2" s="261" t="s">
        <v>195</v>
      </c>
      <c r="L2" s="261"/>
      <c r="M2" s="261"/>
      <c r="N2" s="261" t="s">
        <v>198</v>
      </c>
      <c r="O2" s="261"/>
      <c r="P2" s="261"/>
      <c r="Q2" s="261"/>
      <c r="R2" s="261"/>
    </row>
    <row r="3" spans="1:49" ht="24" customHeight="1" x14ac:dyDescent="0.3">
      <c r="A3" s="258"/>
      <c r="B3" s="258"/>
      <c r="C3" s="260" t="s">
        <v>165</v>
      </c>
      <c r="D3" s="260"/>
      <c r="E3" s="260"/>
      <c r="F3" s="260"/>
      <c r="G3" s="260"/>
      <c r="H3" s="260"/>
      <c r="I3" s="260"/>
      <c r="J3" s="260"/>
      <c r="K3" s="137"/>
      <c r="L3" s="138"/>
      <c r="M3" s="138"/>
      <c r="N3" s="138"/>
      <c r="O3" s="265"/>
      <c r="P3" s="265"/>
      <c r="Q3" s="141"/>
      <c r="R3" s="265"/>
    </row>
    <row r="4" spans="1:49" ht="24" customHeight="1" x14ac:dyDescent="0.3">
      <c r="A4" s="254" t="s">
        <v>174</v>
      </c>
      <c r="B4" s="254"/>
      <c r="C4" s="254"/>
      <c r="D4" s="254"/>
      <c r="E4" s="254" t="s">
        <v>175</v>
      </c>
      <c r="F4" s="254"/>
      <c r="G4" s="254"/>
      <c r="H4" s="254"/>
      <c r="I4" s="254" t="s">
        <v>169</v>
      </c>
      <c r="J4" s="254"/>
      <c r="K4" s="254"/>
      <c r="L4" s="254"/>
      <c r="M4" s="254" t="s">
        <v>172</v>
      </c>
      <c r="N4" s="254"/>
      <c r="O4" s="254"/>
      <c r="P4" s="254"/>
      <c r="Q4" s="254"/>
      <c r="R4" s="254"/>
    </row>
    <row r="5" spans="1:49" ht="24" customHeight="1" x14ac:dyDescent="0.3">
      <c r="A5" s="255">
        <v>6.9444444444444444E-5</v>
      </c>
      <c r="B5" s="256"/>
      <c r="C5" s="256"/>
      <c r="D5" s="256"/>
      <c r="E5" s="257">
        <v>7.9756</v>
      </c>
      <c r="F5" s="256"/>
      <c r="G5" s="256"/>
      <c r="H5" s="256"/>
      <c r="I5" s="264">
        <v>79.8</v>
      </c>
      <c r="J5" s="256"/>
      <c r="K5" s="256"/>
      <c r="L5" s="256"/>
      <c r="M5" s="264">
        <v>10</v>
      </c>
      <c r="N5" s="256"/>
      <c r="O5" s="256"/>
      <c r="P5" s="256"/>
      <c r="Q5" s="256"/>
      <c r="R5" s="256"/>
    </row>
    <row r="7" spans="1:49" ht="14.4" thickBot="1" x14ac:dyDescent="0.35">
      <c r="A7" s="252" t="s">
        <v>176</v>
      </c>
      <c r="B7" s="252"/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2"/>
      <c r="P7" s="252"/>
      <c r="Q7" s="252"/>
      <c r="R7" s="252"/>
    </row>
    <row r="8" spans="1:49" ht="42" customHeight="1" x14ac:dyDescent="0.3">
      <c r="A8" s="123" t="s">
        <v>96</v>
      </c>
      <c r="B8" s="124" t="s">
        <v>97</v>
      </c>
      <c r="C8" s="130" t="s">
        <v>98</v>
      </c>
      <c r="D8" s="124" t="s">
        <v>99</v>
      </c>
      <c r="E8" s="124" t="s">
        <v>100</v>
      </c>
      <c r="F8" s="124" t="s">
        <v>101</v>
      </c>
      <c r="G8" s="134" t="s">
        <v>94</v>
      </c>
      <c r="H8" s="130" t="s">
        <v>102</v>
      </c>
      <c r="I8" s="130" t="s">
        <v>103</v>
      </c>
      <c r="J8" s="130" t="s">
        <v>104</v>
      </c>
      <c r="K8" s="130" t="s">
        <v>95</v>
      </c>
      <c r="L8" s="134" t="s">
        <v>110</v>
      </c>
      <c r="M8" s="134" t="s">
        <v>111</v>
      </c>
      <c r="N8" s="134" t="s">
        <v>192</v>
      </c>
      <c r="O8" s="266" t="s">
        <v>116</v>
      </c>
      <c r="P8" s="266" t="s">
        <v>117</v>
      </c>
      <c r="Q8" s="124" t="s">
        <v>82</v>
      </c>
      <c r="R8" s="270" t="s">
        <v>112</v>
      </c>
      <c r="S8" s="139" t="s">
        <v>193</v>
      </c>
      <c r="T8" s="139" t="s">
        <v>119</v>
      </c>
      <c r="U8" s="139" t="s">
        <v>120</v>
      </c>
      <c r="V8" s="139" t="s">
        <v>121</v>
      </c>
      <c r="W8" s="140" t="s">
        <v>83</v>
      </c>
      <c r="X8" s="140" t="s">
        <v>84</v>
      </c>
      <c r="Y8" s="140" t="s">
        <v>85</v>
      </c>
      <c r="Z8" s="140" t="s">
        <v>86</v>
      </c>
      <c r="AA8" s="140" t="s">
        <v>87</v>
      </c>
      <c r="AB8" s="140" t="s">
        <v>88</v>
      </c>
      <c r="AC8" s="140" t="s">
        <v>89</v>
      </c>
      <c r="AD8" s="140" t="s">
        <v>90</v>
      </c>
      <c r="AE8" s="140" t="s">
        <v>91</v>
      </c>
      <c r="AF8" s="139" t="s">
        <v>162</v>
      </c>
      <c r="AG8" s="139" t="s">
        <v>122</v>
      </c>
      <c r="AH8" s="139" t="s">
        <v>123</v>
      </c>
      <c r="AI8" s="139" t="s">
        <v>124</v>
      </c>
      <c r="AJ8" s="139" t="s">
        <v>125</v>
      </c>
      <c r="AK8" s="139" t="s">
        <v>126</v>
      </c>
      <c r="AL8" s="139" t="s">
        <v>127</v>
      </c>
      <c r="AM8" s="139" t="s">
        <v>93</v>
      </c>
      <c r="AN8" s="139" t="s">
        <v>128</v>
      </c>
      <c r="AO8" s="139" t="s">
        <v>71</v>
      </c>
      <c r="AP8" s="139" t="s">
        <v>72</v>
      </c>
      <c r="AQ8" s="139" t="s">
        <v>129</v>
      </c>
      <c r="AR8" s="139" t="s">
        <v>160</v>
      </c>
      <c r="AS8" s="139" t="s">
        <v>105</v>
      </c>
      <c r="AT8" s="139" t="s">
        <v>106</v>
      </c>
      <c r="AU8" s="139" t="s">
        <v>107</v>
      </c>
      <c r="AV8" s="139" t="s">
        <v>108</v>
      </c>
      <c r="AW8" s="139" t="s">
        <v>109</v>
      </c>
    </row>
    <row r="9" spans="1:49" ht="22.05" customHeight="1" x14ac:dyDescent="0.3">
      <c r="A9" s="128">
        <v>3346</v>
      </c>
      <c r="B9" s="129" t="s">
        <v>194</v>
      </c>
      <c r="C9" s="131">
        <v>4</v>
      </c>
      <c r="D9" s="129" t="s">
        <v>44</v>
      </c>
      <c r="E9" s="129"/>
      <c r="F9" s="129"/>
      <c r="G9" s="135">
        <v>6.35</v>
      </c>
      <c r="H9" s="131">
        <v>200</v>
      </c>
      <c r="I9" s="131">
        <v>200</v>
      </c>
      <c r="J9" s="131"/>
      <c r="K9" s="131">
        <v>1200</v>
      </c>
      <c r="L9" s="135">
        <v>1.9939</v>
      </c>
      <c r="M9" s="135">
        <v>7.9756</v>
      </c>
      <c r="N9" s="135">
        <v>0.10457516339869281</v>
      </c>
      <c r="O9" s="267">
        <v>19.95</v>
      </c>
      <c r="P9" s="267">
        <v>79.8</v>
      </c>
      <c r="Q9" s="129" t="s">
        <v>54</v>
      </c>
      <c r="R9" s="271">
        <v>10</v>
      </c>
      <c r="S9" s="121">
        <v>5.9379084967320255</v>
      </c>
      <c r="T9" s="122">
        <v>3.87</v>
      </c>
      <c r="U9" s="122">
        <v>7.99</v>
      </c>
      <c r="V9" s="122">
        <v>0.16</v>
      </c>
      <c r="W9" s="122">
        <v>0.57999999999999996</v>
      </c>
      <c r="X9" s="122">
        <v>0.39</v>
      </c>
      <c r="Y9" s="122">
        <v>0</v>
      </c>
      <c r="Z9" s="122">
        <v>1.2</v>
      </c>
      <c r="AA9" s="122">
        <v>0.81</v>
      </c>
      <c r="AB9" s="122">
        <v>0.16</v>
      </c>
      <c r="AC9" s="122">
        <v>-0.62</v>
      </c>
      <c r="AD9" s="122">
        <v>-0.42</v>
      </c>
      <c r="AE9" s="122">
        <v>-0.88</v>
      </c>
      <c r="AF9" s="122">
        <v>79.760000000000005</v>
      </c>
      <c r="AG9" s="122">
        <v>2.66</v>
      </c>
      <c r="AH9" s="122">
        <v>21.2</v>
      </c>
      <c r="AI9" s="121">
        <v>0.26586876513317187</v>
      </c>
      <c r="AJ9" s="122">
        <v>10.58</v>
      </c>
      <c r="AK9" s="122">
        <v>84.37</v>
      </c>
      <c r="AL9" s="122">
        <v>1</v>
      </c>
      <c r="AM9" s="122">
        <v>5</v>
      </c>
      <c r="AN9" s="122">
        <v>4.12</v>
      </c>
      <c r="AO9" s="122">
        <v>0.2</v>
      </c>
      <c r="AP9" s="122">
        <v>0.26</v>
      </c>
      <c r="AQ9" s="122">
        <v>0</v>
      </c>
      <c r="AR9" s="121">
        <v>30600</v>
      </c>
      <c r="AS9" s="121">
        <v>40000</v>
      </c>
      <c r="AT9" s="121">
        <v>160000</v>
      </c>
      <c r="AU9" s="121">
        <v>800</v>
      </c>
      <c r="AV9" s="121">
        <v>3200</v>
      </c>
      <c r="AW9" s="121">
        <v>3200</v>
      </c>
    </row>
    <row r="10" spans="1:49" ht="22.05" customHeight="1" thickBot="1" x14ac:dyDescent="0.35">
      <c r="A10" s="125" t="s">
        <v>197</v>
      </c>
      <c r="B10" s="126"/>
      <c r="C10" s="132"/>
      <c r="D10" s="126"/>
      <c r="E10" s="126"/>
      <c r="F10" s="126"/>
      <c r="G10" s="127"/>
      <c r="H10" s="132"/>
      <c r="I10" s="132"/>
      <c r="J10" s="132"/>
      <c r="K10" s="132"/>
      <c r="L10" s="127"/>
      <c r="M10" s="127">
        <v>7.9756</v>
      </c>
      <c r="N10" s="127"/>
      <c r="O10" s="268"/>
      <c r="P10" s="268"/>
      <c r="Q10" s="126"/>
      <c r="R10" s="272"/>
    </row>
    <row r="12" spans="1:49" x14ac:dyDescent="0.3">
      <c r="A12" s="253" t="s">
        <v>177</v>
      </c>
      <c r="B12" s="253"/>
      <c r="C12" s="253"/>
      <c r="D12" s="253"/>
      <c r="E12" s="253"/>
      <c r="F12" s="253"/>
      <c r="G12" s="253"/>
      <c r="H12" s="253"/>
    </row>
    <row r="13" spans="1:49" x14ac:dyDescent="0.3">
      <c r="A13" s="253"/>
      <c r="B13" s="253"/>
      <c r="C13" s="253"/>
      <c r="D13" s="253"/>
      <c r="E13" s="253"/>
      <c r="F13" s="253"/>
      <c r="G13" s="253"/>
      <c r="H13" s="253"/>
    </row>
    <row r="14" spans="1:49" x14ac:dyDescent="0.3">
      <c r="A14" s="253"/>
      <c r="B14" s="253"/>
      <c r="C14" s="253"/>
      <c r="D14" s="253"/>
      <c r="E14" s="253"/>
      <c r="F14" s="253"/>
      <c r="G14" s="253"/>
      <c r="H14" s="253"/>
    </row>
  </sheetData>
  <mergeCells count="17">
    <mergeCell ref="A7:R7"/>
    <mergeCell ref="A12:H14"/>
    <mergeCell ref="A4:D4"/>
    <mergeCell ref="E4:H4"/>
    <mergeCell ref="I4:L4"/>
    <mergeCell ref="M4:R4"/>
    <mergeCell ref="A5:D5"/>
    <mergeCell ref="E5:H5"/>
    <mergeCell ref="I5:L5"/>
    <mergeCell ref="M5:R5"/>
    <mergeCell ref="A1:B3"/>
    <mergeCell ref="C1:J2"/>
    <mergeCell ref="C3:J3"/>
    <mergeCell ref="K1:M1"/>
    <mergeCell ref="K2:M2"/>
    <mergeCell ref="N1:R1"/>
    <mergeCell ref="N2:R2"/>
  </mergeCells>
  <printOptions horizontalCentered="1"/>
  <pageMargins left="0.15748031496062995" right="0.15748031496062995" top="0.19685039370078738" bottom="0.19685039370078738" header="0.11811023622047243" footer="0.11811023622047243"/>
  <pageSetup paperSize="9" scale="74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PEÇAS</vt:lpstr>
      <vt:lpstr>AUXILIAR</vt:lpstr>
      <vt:lpstr>SIMULADOR-IMPOSTO</vt:lpstr>
      <vt:lpstr>relação-de-peças-1-3346</vt:lpstr>
      <vt:lpstr>'relação-de-peças-1-3346'!Area_de_impressao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2026-04-02T18:09:14Z</dcterms:modified>
</cp:coreProperties>
</file>