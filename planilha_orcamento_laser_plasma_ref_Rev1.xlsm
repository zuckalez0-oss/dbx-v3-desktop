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PEÇAS!$A$13:$BH$200</definedName>
    <definedName name="_xlnm.Print_Area" localSheetId="1">RESUMOS!$A$1:$M$15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M16" i="1" s="1"/>
  <c r="L17" i="1"/>
  <c r="M17" i="1" s="1"/>
  <c r="L18" i="1"/>
  <c r="M18" i="1" s="1"/>
  <c r="L19" i="1"/>
  <c r="M19" i="1"/>
  <c r="L20" i="1"/>
  <c r="M20" i="1"/>
  <c r="L21" i="1"/>
  <c r="M21" i="1"/>
  <c r="L22" i="1"/>
  <c r="M22" i="1" s="1"/>
  <c r="L23" i="1"/>
  <c r="M23" i="1" s="1"/>
  <c r="L24" i="1"/>
  <c r="M24" i="1" s="1"/>
  <c r="L25" i="1"/>
  <c r="M25" i="1"/>
  <c r="L26" i="1"/>
  <c r="M26" i="1"/>
  <c r="L27" i="1"/>
  <c r="M27" i="1"/>
  <c r="L28" i="1"/>
  <c r="M28" i="1" s="1"/>
  <c r="L29" i="1"/>
  <c r="M29" i="1" s="1"/>
  <c r="L30" i="1"/>
  <c r="M30" i="1" s="1"/>
  <c r="L31" i="1"/>
  <c r="M31" i="1"/>
  <c r="L32" i="1"/>
  <c r="M32" i="1"/>
  <c r="L33" i="1"/>
  <c r="M33" i="1"/>
  <c r="L34" i="1"/>
  <c r="M34" i="1" s="1"/>
  <c r="L35" i="1"/>
  <c r="M35" i="1" s="1"/>
  <c r="L36" i="1"/>
  <c r="M36" i="1" s="1"/>
  <c r="L37" i="1"/>
  <c r="M37" i="1"/>
  <c r="L38" i="1"/>
  <c r="M38" i="1"/>
  <c r="L39" i="1"/>
  <c r="M39" i="1"/>
  <c r="L40" i="1"/>
  <c r="M40" i="1" s="1"/>
  <c r="L41" i="1"/>
  <c r="M41" i="1" s="1"/>
  <c r="L42" i="1"/>
  <c r="M42" i="1" s="1"/>
  <c r="L43" i="1"/>
  <c r="M43" i="1"/>
  <c r="L44" i="1"/>
  <c r="M44" i="1"/>
  <c r="L45" i="1"/>
  <c r="M45" i="1"/>
  <c r="L46" i="1"/>
  <c r="M46" i="1" s="1"/>
  <c r="L47" i="1"/>
  <c r="M47" i="1" s="1"/>
  <c r="L48" i="1"/>
  <c r="M48" i="1" s="1"/>
  <c r="L49" i="1"/>
  <c r="M49" i="1"/>
  <c r="L50" i="1"/>
  <c r="M50" i="1"/>
  <c r="L51" i="1"/>
  <c r="M51" i="1"/>
  <c r="L52" i="1"/>
  <c r="M52" i="1" s="1"/>
  <c r="L53" i="1"/>
  <c r="M53" i="1" s="1"/>
  <c r="L54" i="1"/>
  <c r="M54" i="1" s="1"/>
  <c r="L55" i="1"/>
  <c r="M55" i="1"/>
  <c r="L56" i="1"/>
  <c r="M56" i="1"/>
  <c r="L57" i="1"/>
  <c r="M57" i="1"/>
  <c r="L58" i="1"/>
  <c r="M58" i="1" s="1"/>
  <c r="L59" i="1"/>
  <c r="M59" i="1" s="1"/>
  <c r="L60" i="1"/>
  <c r="M60" i="1" s="1"/>
  <c r="L61" i="1"/>
  <c r="M61" i="1"/>
  <c r="L62" i="1"/>
  <c r="M62" i="1"/>
  <c r="L63" i="1"/>
  <c r="M63" i="1"/>
  <c r="L64" i="1"/>
  <c r="M64" i="1" s="1"/>
  <c r="L65" i="1"/>
  <c r="M65" i="1" s="1"/>
  <c r="L66" i="1"/>
  <c r="M66" i="1" s="1"/>
  <c r="L67" i="1"/>
  <c r="M67" i="1"/>
  <c r="L68" i="1"/>
  <c r="M68" i="1"/>
  <c r="L69" i="1"/>
  <c r="M69" i="1"/>
  <c r="L70" i="1"/>
  <c r="M70" i="1" s="1"/>
  <c r="L71" i="1"/>
  <c r="M71" i="1" s="1"/>
  <c r="L72" i="1"/>
  <c r="M72" i="1" s="1"/>
  <c r="L73" i="1"/>
  <c r="M73" i="1"/>
  <c r="L74" i="1"/>
  <c r="M74" i="1"/>
  <c r="L75" i="1"/>
  <c r="M75" i="1"/>
  <c r="L76" i="1"/>
  <c r="M76" i="1" s="1"/>
  <c r="L77" i="1"/>
  <c r="M77" i="1" s="1"/>
  <c r="L78" i="1"/>
  <c r="M78" i="1" s="1"/>
  <c r="L79" i="1"/>
  <c r="M79" i="1"/>
  <c r="L80" i="1"/>
  <c r="M80" i="1"/>
  <c r="L81" i="1"/>
  <c r="M81" i="1"/>
  <c r="L82" i="1"/>
  <c r="M82" i="1" s="1"/>
  <c r="L83" i="1"/>
  <c r="M83" i="1" s="1"/>
  <c r="L84" i="1"/>
  <c r="M84" i="1" s="1"/>
  <c r="L85" i="1"/>
  <c r="M85" i="1"/>
  <c r="L86" i="1"/>
  <c r="M86" i="1"/>
  <c r="L87" i="1"/>
  <c r="M87" i="1"/>
  <c r="L88" i="1"/>
  <c r="M88" i="1" s="1"/>
  <c r="L89" i="1"/>
  <c r="M89" i="1" s="1"/>
  <c r="L90" i="1"/>
  <c r="M90" i="1" s="1"/>
  <c r="L91" i="1"/>
  <c r="M91" i="1"/>
  <c r="L92" i="1"/>
  <c r="M92" i="1"/>
  <c r="L93" i="1"/>
  <c r="M93" i="1"/>
  <c r="L94" i="1"/>
  <c r="M94" i="1" s="1"/>
  <c r="L95" i="1"/>
  <c r="M95" i="1" s="1"/>
  <c r="L96" i="1"/>
  <c r="M96" i="1" s="1"/>
  <c r="L97" i="1"/>
  <c r="M97" i="1"/>
  <c r="L98" i="1"/>
  <c r="M98" i="1"/>
  <c r="L99" i="1"/>
  <c r="M99" i="1"/>
  <c r="L100" i="1"/>
  <c r="M100" i="1" s="1"/>
  <c r="L101" i="1"/>
  <c r="M101" i="1" s="1"/>
  <c r="L102" i="1"/>
  <c r="M102" i="1" s="1"/>
  <c r="L103" i="1"/>
  <c r="M103" i="1"/>
  <c r="L104" i="1"/>
  <c r="M104" i="1"/>
  <c r="L105" i="1"/>
  <c r="M105" i="1"/>
  <c r="L106" i="1"/>
  <c r="M106" i="1" s="1"/>
  <c r="L107" i="1"/>
  <c r="M107" i="1" s="1"/>
  <c r="L108" i="1"/>
  <c r="M108" i="1" s="1"/>
  <c r="L109" i="1"/>
  <c r="M109" i="1"/>
  <c r="L110" i="1"/>
  <c r="M110" i="1"/>
  <c r="L111" i="1"/>
  <c r="M111" i="1"/>
  <c r="L112" i="1"/>
  <c r="M112" i="1" s="1"/>
  <c r="L113" i="1"/>
  <c r="M113" i="1" s="1"/>
  <c r="L114" i="1"/>
  <c r="M114" i="1" s="1"/>
  <c r="L115" i="1"/>
  <c r="M115" i="1"/>
  <c r="L116" i="1"/>
  <c r="M116" i="1"/>
  <c r="L117" i="1"/>
  <c r="M117" i="1"/>
  <c r="L118" i="1"/>
  <c r="M118" i="1" s="1"/>
  <c r="L119" i="1"/>
  <c r="M119" i="1" s="1"/>
  <c r="L120" i="1"/>
  <c r="M120" i="1" s="1"/>
  <c r="L121" i="1"/>
  <c r="M121" i="1"/>
  <c r="L122" i="1"/>
  <c r="M122" i="1"/>
  <c r="L123" i="1"/>
  <c r="M123" i="1"/>
  <c r="L124" i="1"/>
  <c r="M124" i="1" s="1"/>
  <c r="L125" i="1"/>
  <c r="M125" i="1" s="1"/>
  <c r="L126" i="1"/>
  <c r="M126" i="1" s="1"/>
  <c r="L127" i="1"/>
  <c r="M127" i="1"/>
  <c r="L128" i="1"/>
  <c r="M128" i="1"/>
  <c r="L129" i="1"/>
  <c r="M129" i="1"/>
  <c r="L130" i="1"/>
  <c r="M130" i="1" s="1"/>
  <c r="L131" i="1"/>
  <c r="M131" i="1" s="1"/>
  <c r="L132" i="1"/>
  <c r="M132" i="1" s="1"/>
  <c r="L133" i="1"/>
  <c r="M133" i="1"/>
  <c r="L134" i="1"/>
  <c r="M134" i="1"/>
  <c r="L135" i="1"/>
  <c r="M135" i="1"/>
  <c r="L136" i="1"/>
  <c r="M136" i="1" s="1"/>
  <c r="L137" i="1"/>
  <c r="M137" i="1" s="1"/>
  <c r="L138" i="1"/>
  <c r="M138" i="1" s="1"/>
  <c r="L139" i="1"/>
  <c r="M139" i="1"/>
  <c r="L140" i="1"/>
  <c r="M140" i="1"/>
  <c r="L141" i="1"/>
  <c r="M141" i="1"/>
  <c r="L142" i="1"/>
  <c r="M142" i="1" s="1"/>
  <c r="L143" i="1"/>
  <c r="M143" i="1" s="1"/>
  <c r="L144" i="1"/>
  <c r="M144" i="1" s="1"/>
  <c r="L145" i="1"/>
  <c r="M145" i="1"/>
  <c r="L146" i="1"/>
  <c r="M146" i="1"/>
  <c r="L147" i="1"/>
  <c r="M147" i="1"/>
  <c r="L148" i="1"/>
  <c r="M148" i="1" s="1"/>
  <c r="L149" i="1"/>
  <c r="M149" i="1" s="1"/>
  <c r="L150" i="1"/>
  <c r="M150" i="1" s="1"/>
  <c r="L151" i="1"/>
  <c r="M151" i="1"/>
  <c r="L152" i="1"/>
  <c r="M152" i="1"/>
  <c r="L153" i="1"/>
  <c r="M153" i="1"/>
  <c r="L154" i="1"/>
  <c r="M154" i="1" s="1"/>
  <c r="L155" i="1"/>
  <c r="M155" i="1" s="1"/>
  <c r="L156" i="1"/>
  <c r="M156" i="1" s="1"/>
  <c r="L157" i="1"/>
  <c r="M157" i="1"/>
  <c r="L158" i="1"/>
  <c r="M158" i="1"/>
  <c r="L159" i="1"/>
  <c r="M159" i="1"/>
  <c r="L160" i="1"/>
  <c r="M160" i="1" s="1"/>
  <c r="L161" i="1"/>
  <c r="M161" i="1" s="1"/>
  <c r="L162" i="1"/>
  <c r="M162" i="1" s="1"/>
  <c r="L163" i="1"/>
  <c r="M163" i="1"/>
  <c r="L164" i="1"/>
  <c r="M164" i="1"/>
  <c r="L165" i="1"/>
  <c r="M165" i="1"/>
  <c r="L166" i="1"/>
  <c r="M166" i="1" s="1"/>
  <c r="L167" i="1"/>
  <c r="M167" i="1" s="1"/>
  <c r="L168" i="1"/>
  <c r="M168" i="1" s="1"/>
  <c r="L169" i="1"/>
  <c r="M169" i="1"/>
  <c r="L170" i="1"/>
  <c r="M170" i="1"/>
  <c r="L171" i="1"/>
  <c r="M171" i="1"/>
  <c r="L172" i="1"/>
  <c r="M172" i="1" s="1"/>
  <c r="L173" i="1"/>
  <c r="M173" i="1" s="1"/>
  <c r="L174" i="1"/>
  <c r="M174" i="1" s="1"/>
  <c r="L175" i="1"/>
  <c r="M175" i="1"/>
  <c r="L176" i="1"/>
  <c r="M176" i="1"/>
  <c r="L177" i="1"/>
  <c r="M177" i="1"/>
  <c r="L178" i="1"/>
  <c r="M178" i="1" s="1"/>
  <c r="L179" i="1"/>
  <c r="M179" i="1" s="1"/>
  <c r="L180" i="1"/>
  <c r="M180" i="1" s="1"/>
  <c r="L181" i="1"/>
  <c r="M181" i="1"/>
  <c r="L182" i="1"/>
  <c r="M182" i="1"/>
  <c r="L183" i="1"/>
  <c r="M183" i="1"/>
  <c r="L184" i="1"/>
  <c r="M184" i="1" s="1"/>
  <c r="L185" i="1"/>
  <c r="M185" i="1" s="1"/>
  <c r="L186" i="1"/>
  <c r="M186" i="1" s="1"/>
  <c r="L187" i="1"/>
  <c r="M187" i="1"/>
  <c r="L188" i="1"/>
  <c r="M188" i="1"/>
  <c r="L189" i="1"/>
  <c r="M189" i="1"/>
  <c r="L190" i="1"/>
  <c r="M190" i="1" s="1"/>
  <c r="L191" i="1"/>
  <c r="M191" i="1" s="1"/>
  <c r="L192" i="1"/>
  <c r="M192" i="1" s="1"/>
  <c r="L193" i="1"/>
  <c r="M193" i="1"/>
  <c r="L194" i="1"/>
  <c r="M194" i="1"/>
  <c r="L195" i="1"/>
  <c r="M195" i="1"/>
  <c r="L196" i="1"/>
  <c r="M196" i="1" s="1"/>
  <c r="L197" i="1"/>
  <c r="M197" i="1" s="1"/>
  <c r="L198" i="1"/>
  <c r="M198" i="1" s="1"/>
  <c r="L199" i="1"/>
  <c r="M199" i="1"/>
  <c r="L200" i="1"/>
  <c r="M200" i="1"/>
  <c r="AM14" i="1" l="1"/>
  <c r="H4" i="1" l="1"/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Z39" i="1" s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AZ31" i="1"/>
  <c r="BB31" i="1"/>
  <c r="S32" i="1"/>
  <c r="AO32" i="1" s="1"/>
  <c r="AL32" i="1"/>
  <c r="AP32" i="1"/>
  <c r="AR32" i="1"/>
  <c r="AS32" i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M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AV18" i="1"/>
  <c r="AY18" i="1"/>
  <c r="BA18" i="1" s="1"/>
  <c r="AZ18" i="1"/>
  <c r="BB18" i="1"/>
  <c r="BC18" i="1"/>
  <c r="S19" i="1"/>
  <c r="AL19" i="1"/>
  <c r="AP19" i="1"/>
  <c r="AS19" i="1"/>
  <c r="AV19" i="1"/>
  <c r="AY19" i="1"/>
  <c r="BB19" i="1"/>
  <c r="S41" i="1"/>
  <c r="U41" i="1" s="1"/>
  <c r="AL41" i="1"/>
  <c r="AP41" i="1"/>
  <c r="AR41" i="1"/>
  <c r="AS41" i="1"/>
  <c r="AV41" i="1"/>
  <c r="AY41" i="1"/>
  <c r="BB41" i="1"/>
  <c r="S42" i="1"/>
  <c r="U42" i="1" s="1"/>
  <c r="AL42" i="1"/>
  <c r="AP42" i="1"/>
  <c r="AR42" i="1"/>
  <c r="AS42" i="1"/>
  <c r="AV42" i="1"/>
  <c r="AY42" i="1"/>
  <c r="BB42" i="1"/>
  <c r="S33" i="1"/>
  <c r="U33" i="1" s="1"/>
  <c r="AL33" i="1"/>
  <c r="AP33" i="1"/>
  <c r="AR33" i="1"/>
  <c r="AS33" i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AV43" i="1"/>
  <c r="AY43" i="1"/>
  <c r="AZ43" i="1"/>
  <c r="BB43" i="1"/>
  <c r="S36" i="1"/>
  <c r="AO36" i="1" s="1"/>
  <c r="AL36" i="1"/>
  <c r="AP36" i="1"/>
  <c r="AR36" i="1"/>
  <c r="AS36" i="1"/>
  <c r="AV36" i="1"/>
  <c r="AY36" i="1"/>
  <c r="AZ36" i="1"/>
  <c r="BB36" i="1"/>
  <c r="S44" i="1"/>
  <c r="AO44" i="1" s="1"/>
  <c r="AL44" i="1"/>
  <c r="AP44" i="1"/>
  <c r="AR44" i="1"/>
  <c r="AS44" i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AV47" i="1"/>
  <c r="BG47" i="1" s="1"/>
  <c r="AY47" i="1"/>
  <c r="BB47" i="1"/>
  <c r="S48" i="1"/>
  <c r="AO48" i="1" s="1"/>
  <c r="AL48" i="1"/>
  <c r="AP48" i="1"/>
  <c r="AR48" i="1"/>
  <c r="AS48" i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O163" i="1" s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BA31" i="1" l="1"/>
  <c r="BC31" i="1" s="1"/>
  <c r="AT163" i="1"/>
  <c r="U46" i="1"/>
  <c r="BA39" i="1"/>
  <c r="BC39" i="1" s="1"/>
  <c r="AT124" i="1"/>
  <c r="AU130" i="1"/>
  <c r="BG130" i="1"/>
  <c r="O129" i="1"/>
  <c r="AU117" i="1"/>
  <c r="BG117" i="1"/>
  <c r="Q116" i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E193" i="1" s="1"/>
  <c r="BG193" i="1"/>
  <c r="AU181" i="1"/>
  <c r="N181" i="1" s="1"/>
  <c r="BG181" i="1"/>
  <c r="AU169" i="1"/>
  <c r="BG169" i="1"/>
  <c r="AU156" i="1"/>
  <c r="N156" i="1" s="1"/>
  <c r="BG156" i="1"/>
  <c r="AU131" i="1"/>
  <c r="BG131" i="1"/>
  <c r="AU118" i="1"/>
  <c r="BG118" i="1"/>
  <c r="O117" i="1"/>
  <c r="AW106" i="1"/>
  <c r="BD106" i="1" s="1"/>
  <c r="BE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E182" i="1" s="1"/>
  <c r="BG182" i="1"/>
  <c r="AU157" i="1"/>
  <c r="BG157" i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N146" i="1" s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N60" i="1" s="1"/>
  <c r="BG60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E85" i="1" s="1"/>
  <c r="BG85" i="1"/>
  <c r="AU197" i="1"/>
  <c r="BG197" i="1"/>
  <c r="AU185" i="1"/>
  <c r="N185" i="1" s="1"/>
  <c r="BG185" i="1"/>
  <c r="AU160" i="1"/>
  <c r="BG160" i="1"/>
  <c r="AU148" i="1"/>
  <c r="N148" i="1" s="1"/>
  <c r="BG148" i="1"/>
  <c r="AU135" i="1"/>
  <c r="BG135" i="1"/>
  <c r="AU122" i="1"/>
  <c r="BG122" i="1"/>
  <c r="AU110" i="1"/>
  <c r="N110" i="1" s="1"/>
  <c r="BG110" i="1"/>
  <c r="AU98" i="1"/>
  <c r="BG98" i="1"/>
  <c r="AU86" i="1"/>
  <c r="BG86" i="1"/>
  <c r="AU74" i="1"/>
  <c r="BG74" i="1"/>
  <c r="AU168" i="1"/>
  <c r="BG168" i="1"/>
  <c r="AW170" i="1"/>
  <c r="BD170" i="1" s="1"/>
  <c r="BE170" i="1" s="1"/>
  <c r="BG170" i="1"/>
  <c r="AU132" i="1"/>
  <c r="BG132" i="1"/>
  <c r="AU83" i="1"/>
  <c r="N83" i="1" s="1"/>
  <c r="BG83" i="1"/>
  <c r="AU159" i="1"/>
  <c r="N159" i="1" s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N136" i="1" s="1"/>
  <c r="BG136" i="1"/>
  <c r="AU123" i="1"/>
  <c r="BG123" i="1"/>
  <c r="AU111" i="1"/>
  <c r="BG111" i="1"/>
  <c r="AU99" i="1"/>
  <c r="BG99" i="1"/>
  <c r="AU87" i="1"/>
  <c r="BG87" i="1"/>
  <c r="AU75" i="1"/>
  <c r="N75" i="1" s="1"/>
  <c r="BG75" i="1"/>
  <c r="AU63" i="1"/>
  <c r="N63" i="1" s="1"/>
  <c r="BG63" i="1"/>
  <c r="AW145" i="1"/>
  <c r="BD145" i="1" s="1"/>
  <c r="BE145" i="1" s="1"/>
  <c r="BG145" i="1"/>
  <c r="AU172" i="1"/>
  <c r="BG172" i="1"/>
  <c r="AU134" i="1"/>
  <c r="BG134" i="1"/>
  <c r="AW97" i="1"/>
  <c r="BD97" i="1" s="1"/>
  <c r="BE97" i="1" s="1"/>
  <c r="BG97" i="1"/>
  <c r="AW61" i="1"/>
  <c r="BD61" i="1" s="1"/>
  <c r="BE61" i="1" s="1"/>
  <c r="BG61" i="1"/>
  <c r="AU187" i="1"/>
  <c r="N187" i="1" s="1"/>
  <c r="BG187" i="1"/>
  <c r="AW175" i="1"/>
  <c r="BD175" i="1" s="1"/>
  <c r="BE175" i="1" s="1"/>
  <c r="BG175" i="1"/>
  <c r="AU162" i="1"/>
  <c r="N162" i="1" s="1"/>
  <c r="BG162" i="1"/>
  <c r="AU150" i="1"/>
  <c r="BG150" i="1"/>
  <c r="AU137" i="1"/>
  <c r="BG137" i="1"/>
  <c r="AU125" i="1"/>
  <c r="N125" i="1" s="1"/>
  <c r="BG125" i="1"/>
  <c r="AU112" i="1"/>
  <c r="N112" i="1" s="1"/>
  <c r="BG112" i="1"/>
  <c r="AU100" i="1"/>
  <c r="N100" i="1" s="1"/>
  <c r="BG100" i="1"/>
  <c r="AW88" i="1"/>
  <c r="BD88" i="1" s="1"/>
  <c r="BE88" i="1" s="1"/>
  <c r="BG88" i="1"/>
  <c r="AU76" i="1"/>
  <c r="BG76" i="1"/>
  <c r="AU64" i="1"/>
  <c r="BG64" i="1"/>
  <c r="AU143" i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58" i="1"/>
  <c r="AU180" i="1"/>
  <c r="N180" i="1" s="1"/>
  <c r="BG180" i="1"/>
  <c r="AU107" i="1"/>
  <c r="BG107" i="1"/>
  <c r="AU59" i="1"/>
  <c r="N59" i="1" s="1"/>
  <c r="BG59" i="1"/>
  <c r="AW189" i="1"/>
  <c r="BD189" i="1" s="1"/>
  <c r="BE189" i="1" s="1"/>
  <c r="BG189" i="1"/>
  <c r="AU152" i="1"/>
  <c r="BG152" i="1"/>
  <c r="AU127" i="1"/>
  <c r="BG127" i="1"/>
  <c r="AU114" i="1"/>
  <c r="N114" i="1" s="1"/>
  <c r="BG114" i="1"/>
  <c r="AU102" i="1"/>
  <c r="N102" i="1" s="1"/>
  <c r="BG102" i="1"/>
  <c r="AU90" i="1"/>
  <c r="N90" i="1" s="1"/>
  <c r="BG90" i="1"/>
  <c r="AU78" i="1"/>
  <c r="N78" i="1" s="1"/>
  <c r="BG78" i="1"/>
  <c r="AW66" i="1"/>
  <c r="BD66" i="1" s="1"/>
  <c r="BG66" i="1"/>
  <c r="AU95" i="1"/>
  <c r="N95" i="1" s="1"/>
  <c r="BG95" i="1"/>
  <c r="AU147" i="1"/>
  <c r="N147" i="1" s="1"/>
  <c r="BG147" i="1"/>
  <c r="AU73" i="1"/>
  <c r="BG73" i="1"/>
  <c r="AU198" i="1"/>
  <c r="N198" i="1" s="1"/>
  <c r="BG198" i="1"/>
  <c r="AU200" i="1"/>
  <c r="N200" i="1" s="1"/>
  <c r="BG200" i="1"/>
  <c r="AU190" i="1"/>
  <c r="BG190" i="1"/>
  <c r="Q177" i="1"/>
  <c r="P177" i="1" s="1"/>
  <c r="O177" i="1"/>
  <c r="AU166" i="1"/>
  <c r="N166" i="1" s="1"/>
  <c r="BG166" i="1"/>
  <c r="AW141" i="1"/>
  <c r="BD141" i="1" s="1"/>
  <c r="BE141" i="1" s="1"/>
  <c r="BG141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Q49" i="1"/>
  <c r="P49" i="1" s="1"/>
  <c r="Q47" i="1"/>
  <c r="P47" i="1" s="1"/>
  <c r="Q43" i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AU34" i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Q36" i="1"/>
  <c r="P36" i="1" s="1"/>
  <c r="AW55" i="1"/>
  <c r="BD55" i="1" s="1"/>
  <c r="BE55" i="1" s="1"/>
  <c r="BG55" i="1"/>
  <c r="AU35" i="1"/>
  <c r="BG35" i="1"/>
  <c r="AW41" i="1"/>
  <c r="BD41" i="1" s="1"/>
  <c r="BE41" i="1" s="1"/>
  <c r="BG41" i="1"/>
  <c r="AU49" i="1"/>
  <c r="BG49" i="1"/>
  <c r="Q48" i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Q42" i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Q20" i="1"/>
  <c r="P20" i="1" s="1"/>
  <c r="AZ41" i="1"/>
  <c r="BA41" i="1" s="1"/>
  <c r="BC41" i="1" s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AU88" i="1"/>
  <c r="N88" i="1" s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AU39" i="1"/>
  <c r="AU155" i="1"/>
  <c r="N155" i="1" s="1"/>
  <c r="U148" i="1"/>
  <c r="AT137" i="1"/>
  <c r="AW56" i="1"/>
  <c r="BD56" i="1" s="1"/>
  <c r="BE56" i="1" s="1"/>
  <c r="AO176" i="1"/>
  <c r="AW103" i="1"/>
  <c r="BD103" i="1" s="1"/>
  <c r="BE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AU85" i="1"/>
  <c r="N85" i="1" s="1"/>
  <c r="AU182" i="1"/>
  <c r="AT173" i="1"/>
  <c r="AW90" i="1"/>
  <c r="BD90" i="1" s="1"/>
  <c r="BE90" i="1" s="1"/>
  <c r="U61" i="1"/>
  <c r="U147" i="1"/>
  <c r="AW137" i="1"/>
  <c r="BD137" i="1" s="1"/>
  <c r="BE137" i="1" s="1"/>
  <c r="U65" i="1"/>
  <c r="AW198" i="1"/>
  <c r="BD198" i="1" s="1"/>
  <c r="BE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BE151" i="1" s="1"/>
  <c r="AW130" i="1"/>
  <c r="BD130" i="1" s="1"/>
  <c r="BE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BE176" i="1" s="1"/>
  <c r="BH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U71" i="1"/>
  <c r="AW59" i="1"/>
  <c r="BD59" i="1" s="1"/>
  <c r="BE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AW112" i="1"/>
  <c r="BD112" i="1" s="1"/>
  <c r="BE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AU55" i="1"/>
  <c r="AW190" i="1"/>
  <c r="BD190" i="1" s="1"/>
  <c r="BE190" i="1" s="1"/>
  <c r="AT188" i="1"/>
  <c r="AT156" i="1"/>
  <c r="AW136" i="1"/>
  <c r="BD136" i="1" s="1"/>
  <c r="BE136" i="1" s="1"/>
  <c r="N93" i="1"/>
  <c r="N99" i="1"/>
  <c r="N174" i="1"/>
  <c r="N126" i="1"/>
  <c r="N123" i="1"/>
  <c r="N127" i="1"/>
  <c r="N122" i="1"/>
  <c r="N94" i="1"/>
  <c r="N117" i="1"/>
  <c r="N76" i="1"/>
  <c r="N64" i="1"/>
  <c r="N118" i="1"/>
  <c r="AT18" i="1"/>
  <c r="N172" i="1"/>
  <c r="N105" i="1"/>
  <c r="N197" i="1"/>
  <c r="N169" i="1"/>
  <c r="N135" i="1"/>
  <c r="N81" i="1"/>
  <c r="N190" i="1"/>
  <c r="N134" i="1"/>
  <c r="N131" i="1"/>
  <c r="N87" i="1"/>
  <c r="N195" i="1"/>
  <c r="N152" i="1"/>
  <c r="N130" i="1"/>
  <c r="N120" i="1"/>
  <c r="N168" i="1"/>
  <c r="N139" i="1"/>
  <c r="N186" i="1"/>
  <c r="N161" i="1"/>
  <c r="N160" i="1"/>
  <c r="N72" i="1"/>
  <c r="N157" i="1"/>
  <c r="N137" i="1"/>
  <c r="N199" i="1"/>
  <c r="N132" i="1"/>
  <c r="N150" i="1"/>
  <c r="N194" i="1"/>
  <c r="N176" i="1"/>
  <c r="N103" i="1"/>
  <c r="N58" i="1"/>
  <c r="N89" i="1"/>
  <c r="AW86" i="1"/>
  <c r="BD86" i="1" s="1"/>
  <c r="BE86" i="1" s="1"/>
  <c r="BH86" i="1" s="1"/>
  <c r="AU57" i="1"/>
  <c r="U107" i="1"/>
  <c r="N86" i="1"/>
  <c r="U68" i="1"/>
  <c r="U47" i="1"/>
  <c r="U27" i="1"/>
  <c r="N111" i="1"/>
  <c r="AT111" i="1"/>
  <c r="AT78" i="1"/>
  <c r="AU23" i="1"/>
  <c r="N23" i="1" s="1"/>
  <c r="U37" i="1"/>
  <c r="AO86" i="1"/>
  <c r="N74" i="1"/>
  <c r="AW72" i="1"/>
  <c r="BD72" i="1" s="1"/>
  <c r="BE72" i="1" s="1"/>
  <c r="BH72" i="1" s="1"/>
  <c r="AT108" i="1"/>
  <c r="N107" i="1"/>
  <c r="U88" i="1"/>
  <c r="U39" i="1"/>
  <c r="AU106" i="1"/>
  <c r="N106" i="1" s="1"/>
  <c r="AW96" i="1"/>
  <c r="BD96" i="1" s="1"/>
  <c r="BE96" i="1" s="1"/>
  <c r="AT33" i="1"/>
  <c r="BA30" i="1"/>
  <c r="BC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AU18" i="1"/>
  <c r="AT15" i="1"/>
  <c r="AW24" i="1"/>
  <c r="BD24" i="1" s="1"/>
  <c r="BE24" i="1" s="1"/>
  <c r="Q84" i="1"/>
  <c r="P84" i="1" s="1"/>
  <c r="Q82" i="1"/>
  <c r="P82" i="1" s="1"/>
  <c r="Q169" i="1"/>
  <c r="P169" i="1" s="1"/>
  <c r="Q141" i="1"/>
  <c r="P141" i="1" s="1"/>
  <c r="AK76" i="1"/>
  <c r="Q114" i="1"/>
  <c r="P114" i="1" s="1"/>
  <c r="Q111" i="1"/>
  <c r="P111" i="1" s="1"/>
  <c r="Q188" i="1"/>
  <c r="P188" i="1" s="1"/>
  <c r="Q157" i="1"/>
  <c r="P157" i="1" s="1"/>
  <c r="Q156" i="1"/>
  <c r="P156" i="1" s="1"/>
  <c r="AK74" i="1"/>
  <c r="Q137" i="1"/>
  <c r="P137" i="1" s="1"/>
  <c r="Q136" i="1"/>
  <c r="P136" i="1" s="1"/>
  <c r="Q108" i="1"/>
  <c r="P108" i="1" s="1"/>
  <c r="AK193" i="1"/>
  <c r="Q190" i="1"/>
  <c r="P190" i="1" s="1"/>
  <c r="AF195" i="1"/>
  <c r="AF96" i="1"/>
  <c r="Q144" i="1"/>
  <c r="P144" i="1" s="1"/>
  <c r="Q180" i="1"/>
  <c r="P180" i="1" s="1"/>
  <c r="AK127" i="1"/>
  <c r="AK150" i="1"/>
  <c r="Q173" i="1"/>
  <c r="P173" i="1" s="1"/>
  <c r="Q149" i="1"/>
  <c r="P149" i="1" s="1"/>
  <c r="Q120" i="1"/>
  <c r="P120" i="1" s="1"/>
  <c r="AT168" i="1"/>
  <c r="U154" i="1"/>
  <c r="AT150" i="1"/>
  <c r="AW146" i="1"/>
  <c r="BD146" i="1" s="1"/>
  <c r="BE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O81" i="1"/>
  <c r="O69" i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AT72" i="1"/>
  <c r="AU61" i="1"/>
  <c r="N61" i="1" s="1"/>
  <c r="N51" i="1"/>
  <c r="BA55" i="1"/>
  <c r="BC55" i="1" s="1"/>
  <c r="O200" i="1"/>
  <c r="O176" i="1"/>
  <c r="O164" i="1"/>
  <c r="O152" i="1"/>
  <c r="O104" i="1"/>
  <c r="O68" i="1"/>
  <c r="AW195" i="1"/>
  <c r="BD195" i="1" s="1"/>
  <c r="BE195" i="1" s="1"/>
  <c r="BH195" i="1" s="1"/>
  <c r="AT190" i="1"/>
  <c r="AW185" i="1"/>
  <c r="BD185" i="1" s="1"/>
  <c r="BE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BE95" i="1" s="1"/>
  <c r="BH95" i="1" s="1"/>
  <c r="AT83" i="1"/>
  <c r="AW21" i="1"/>
  <c r="BD21" i="1" s="1"/>
  <c r="AT20" i="1"/>
  <c r="AW29" i="1"/>
  <c r="BD29" i="1" s="1"/>
  <c r="BE29" i="1" s="1"/>
  <c r="AO53" i="1"/>
  <c r="O187" i="1"/>
  <c r="O103" i="1"/>
  <c r="O91" i="1"/>
  <c r="O79" i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O174" i="1"/>
  <c r="O126" i="1"/>
  <c r="O90" i="1"/>
  <c r="AT195" i="1"/>
  <c r="AU179" i="1"/>
  <c r="N179" i="1" s="1"/>
  <c r="AW172" i="1"/>
  <c r="BD172" i="1" s="1"/>
  <c r="BE172" i="1" s="1"/>
  <c r="AW160" i="1"/>
  <c r="BD160" i="1" s="1"/>
  <c r="BE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O185" i="1"/>
  <c r="O125" i="1"/>
  <c r="O113" i="1"/>
  <c r="O89" i="1"/>
  <c r="O184" i="1"/>
  <c r="O148" i="1"/>
  <c r="O88" i="1"/>
  <c r="O64" i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AW111" i="1"/>
  <c r="BD111" i="1" s="1"/>
  <c r="BE111" i="1" s="1"/>
  <c r="AW94" i="1"/>
  <c r="BD94" i="1" s="1"/>
  <c r="BE94" i="1" s="1"/>
  <c r="BH94" i="1" s="1"/>
  <c r="AO83" i="1"/>
  <c r="O183" i="1"/>
  <c r="O171" i="1"/>
  <c r="O159" i="1"/>
  <c r="O99" i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O146" i="1"/>
  <c r="O122" i="1"/>
  <c r="O98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O145" i="1"/>
  <c r="O121" i="1"/>
  <c r="AW180" i="1"/>
  <c r="BD180" i="1" s="1"/>
  <c r="BE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O132" i="1"/>
  <c r="O107" i="1"/>
  <c r="O71" i="1"/>
  <c r="O59" i="1"/>
  <c r="O178" i="1"/>
  <c r="O166" i="1"/>
  <c r="O154" i="1"/>
  <c r="Q117" i="1"/>
  <c r="P117" i="1" s="1"/>
  <c r="AF117" i="1"/>
  <c r="AK117" i="1"/>
  <c r="AF199" i="1"/>
  <c r="BA40" i="1"/>
  <c r="BC40" i="1" s="1"/>
  <c r="AT68" i="1"/>
  <c r="AT49" i="1"/>
  <c r="U44" i="1"/>
  <c r="AO42" i="1"/>
  <c r="AT19" i="1"/>
  <c r="AW31" i="1"/>
  <c r="BD31" i="1" s="1"/>
  <c r="BE31" i="1" s="1"/>
  <c r="U30" i="1"/>
  <c r="AO24" i="1"/>
  <c r="BA48" i="1"/>
  <c r="BC48" i="1" s="1"/>
  <c r="AT47" i="1"/>
  <c r="AT54" i="1"/>
  <c r="AU17" i="1"/>
  <c r="AW63" i="1"/>
  <c r="BD63" i="1" s="1"/>
  <c r="BE63" i="1" s="1"/>
  <c r="AO59" i="1"/>
  <c r="U49" i="1"/>
  <c r="AT48" i="1"/>
  <c r="BA50" i="1"/>
  <c r="BC50" i="1" s="1"/>
  <c r="AW69" i="1"/>
  <c r="BD69" i="1" s="1"/>
  <c r="BE69" i="1" s="1"/>
  <c r="AW22" i="1"/>
  <c r="BD22" i="1" s="1"/>
  <c r="BE22" i="1" s="1"/>
  <c r="AW33" i="1"/>
  <c r="BD33" i="1" s="1"/>
  <c r="BE33" i="1" s="1"/>
  <c r="AW26" i="1"/>
  <c r="BD26" i="1" s="1"/>
  <c r="BE26" i="1" s="1"/>
  <c r="AU36" i="1"/>
  <c r="AO28" i="1"/>
  <c r="AU41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AT191" i="1"/>
  <c r="AU175" i="1"/>
  <c r="N175" i="1" s="1"/>
  <c r="AU173" i="1"/>
  <c r="N173" i="1" s="1"/>
  <c r="AW173" i="1"/>
  <c r="BD173" i="1" s="1"/>
  <c r="BE173" i="1" s="1"/>
  <c r="AF191" i="1"/>
  <c r="U104" i="1"/>
  <c r="AO104" i="1"/>
  <c r="AO199" i="1"/>
  <c r="AO189" i="1"/>
  <c r="U189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Q189" i="1"/>
  <c r="P189" i="1" s="1"/>
  <c r="AT186" i="1"/>
  <c r="U200" i="1"/>
  <c r="AW199" i="1"/>
  <c r="BD199" i="1" s="1"/>
  <c r="BE199" i="1" s="1"/>
  <c r="AO191" i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Q181" i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AT131" i="1"/>
  <c r="AO130" i="1"/>
  <c r="AO106" i="1"/>
  <c r="U106" i="1"/>
  <c r="AO177" i="1"/>
  <c r="U162" i="1"/>
  <c r="AO162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AF115" i="1"/>
  <c r="AO168" i="1"/>
  <c r="U168" i="1"/>
  <c r="AO167" i="1"/>
  <c r="AU164" i="1"/>
  <c r="N164" i="1" s="1"/>
  <c r="AW164" i="1"/>
  <c r="BD164" i="1" s="1"/>
  <c r="BE164" i="1" s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AK163" i="1"/>
  <c r="AU158" i="1"/>
  <c r="N158" i="1" s="1"/>
  <c r="AT155" i="1"/>
  <c r="AF140" i="1"/>
  <c r="AU144" i="1"/>
  <c r="N144" i="1" s="1"/>
  <c r="AW144" i="1"/>
  <c r="BD144" i="1" s="1"/>
  <c r="BE144" i="1" s="1"/>
  <c r="BH144" i="1" s="1"/>
  <c r="AT130" i="1"/>
  <c r="AO194" i="1"/>
  <c r="AO178" i="1"/>
  <c r="AO187" i="1"/>
  <c r="AK158" i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Q182" i="1"/>
  <c r="P182" i="1" s="1"/>
  <c r="AO172" i="1"/>
  <c r="AO157" i="1"/>
  <c r="Q129" i="1"/>
  <c r="P129" i="1" s="1"/>
  <c r="AF129" i="1"/>
  <c r="AO123" i="1"/>
  <c r="U123" i="1"/>
  <c r="AT142" i="1"/>
  <c r="AT87" i="1"/>
  <c r="AO160" i="1"/>
  <c r="AO138" i="1"/>
  <c r="AW121" i="1"/>
  <c r="BD121" i="1" s="1"/>
  <c r="BE121" i="1" s="1"/>
  <c r="AU121" i="1"/>
  <c r="N121" i="1" s="1"/>
  <c r="AO165" i="1"/>
  <c r="AO153" i="1"/>
  <c r="AT147" i="1"/>
  <c r="AK129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Q133" i="1"/>
  <c r="P133" i="1" s="1"/>
  <c r="U132" i="1"/>
  <c r="AU129" i="1"/>
  <c r="N129" i="1" s="1"/>
  <c r="AU128" i="1"/>
  <c r="N128" i="1" s="1"/>
  <c r="AW128" i="1"/>
  <c r="BD128" i="1" s="1"/>
  <c r="BE128" i="1" s="1"/>
  <c r="Q124" i="1"/>
  <c r="P124" i="1" s="1"/>
  <c r="AK119" i="1"/>
  <c r="AW120" i="1"/>
  <c r="BD120" i="1" s="1"/>
  <c r="BE120" i="1" s="1"/>
  <c r="U120" i="1"/>
  <c r="AO111" i="1"/>
  <c r="AT110" i="1"/>
  <c r="U10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W98" i="1"/>
  <c r="BD98" i="1" s="1"/>
  <c r="BE98" i="1" s="1"/>
  <c r="AO87" i="1"/>
  <c r="U87" i="1"/>
  <c r="AK80" i="1"/>
  <c r="U118" i="1"/>
  <c r="AO117" i="1"/>
  <c r="U117" i="1"/>
  <c r="U111" i="1"/>
  <c r="AT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U101" i="1"/>
  <c r="AU92" i="1"/>
  <c r="N92" i="1" s="1"/>
  <c r="AW92" i="1"/>
  <c r="BD92" i="1" s="1"/>
  <c r="BE92" i="1" s="1"/>
  <c r="AF100" i="1"/>
  <c r="AT100" i="1"/>
  <c r="AT94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AO64" i="1"/>
  <c r="AZ42" i="1"/>
  <c r="BA42" i="1" s="1"/>
  <c r="BC42" i="1" s="1"/>
  <c r="N42" i="1" s="1"/>
  <c r="AO79" i="1"/>
  <c r="AT67" i="1"/>
  <c r="AO50" i="1"/>
  <c r="U72" i="1"/>
  <c r="U69" i="1"/>
  <c r="Q63" i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AU50" i="1"/>
  <c r="AW50" i="1"/>
  <c r="BD50" i="1" s="1"/>
  <c r="BE50" i="1" s="1"/>
  <c r="AO56" i="1"/>
  <c r="U56" i="1"/>
  <c r="AT31" i="1"/>
  <c r="AO63" i="1"/>
  <c r="AT56" i="1"/>
  <c r="AO38" i="1"/>
  <c r="U78" i="1"/>
  <c r="AO70" i="1"/>
  <c r="AU65" i="1"/>
  <c r="N65" i="1" s="1"/>
  <c r="AW60" i="1"/>
  <c r="BD60" i="1" s="1"/>
  <c r="BE60" i="1" s="1"/>
  <c r="AW58" i="1"/>
  <c r="BD58" i="1" s="1"/>
  <c r="BE58" i="1" s="1"/>
  <c r="BH58" i="1" s="1"/>
  <c r="Q18" i="1"/>
  <c r="P18" i="1" s="1"/>
  <c r="AO75" i="1"/>
  <c r="AT65" i="1"/>
  <c r="Q65" i="1"/>
  <c r="P65" i="1" s="1"/>
  <c r="BA49" i="1"/>
  <c r="BC49" i="1" s="1"/>
  <c r="U40" i="1"/>
  <c r="AO40" i="1"/>
  <c r="AO22" i="1"/>
  <c r="U22" i="1"/>
  <c r="U21" i="1"/>
  <c r="BA57" i="1"/>
  <c r="BC57" i="1" s="1"/>
  <c r="AU45" i="1"/>
  <c r="AW45" i="1"/>
  <c r="BD45" i="1" s="1"/>
  <c r="BE45" i="1" s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Q19" i="1"/>
  <c r="P19" i="1" s="1"/>
  <c r="Q54" i="1"/>
  <c r="P54" i="1" s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AT17" i="1"/>
  <c r="U43" i="1"/>
  <c r="AW53" i="1"/>
  <c r="BD53" i="1" s="1"/>
  <c r="BE53" i="1" s="1"/>
  <c r="AO33" i="1"/>
  <c r="U18" i="1"/>
  <c r="AW27" i="1"/>
  <c r="BD27" i="1" s="1"/>
  <c r="BE27" i="1" s="1"/>
  <c r="AO31" i="1"/>
  <c r="U51" i="1"/>
  <c r="AZ56" i="1"/>
  <c r="BA56" i="1" s="1"/>
  <c r="BC56" i="1" s="1"/>
  <c r="N56" i="1" s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57" i="1" l="1"/>
  <c r="N30" i="1"/>
  <c r="AF20" i="1"/>
  <c r="N40" i="1"/>
  <c r="N34" i="1"/>
  <c r="N35" i="1"/>
  <c r="BH143" i="1"/>
  <c r="AF43" i="1"/>
  <c r="BH185" i="1"/>
  <c r="AK114" i="1"/>
  <c r="BH83" i="1"/>
  <c r="BH63" i="1"/>
  <c r="BH107" i="1"/>
  <c r="BH98" i="1"/>
  <c r="BH136" i="1"/>
  <c r="AF116" i="1"/>
  <c r="AK116" i="1"/>
  <c r="BH106" i="1"/>
  <c r="AF187" i="1"/>
  <c r="BH90" i="1"/>
  <c r="BH74" i="1"/>
  <c r="BH59" i="1"/>
  <c r="BH60" i="1"/>
  <c r="BH182" i="1"/>
  <c r="BH103" i="1"/>
  <c r="BH88" i="1"/>
  <c r="BH123" i="1"/>
  <c r="BH181" i="1"/>
  <c r="BH110" i="1"/>
  <c r="BH197" i="1"/>
  <c r="BH198" i="1"/>
  <c r="BH125" i="1"/>
  <c r="BH146" i="1"/>
  <c r="BH75" i="1"/>
  <c r="BH112" i="1"/>
  <c r="BH130" i="1"/>
  <c r="BH180" i="1"/>
  <c r="BH160" i="1"/>
  <c r="BH114" i="1"/>
  <c r="BH137" i="1"/>
  <c r="N39" i="1"/>
  <c r="AF47" i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Q184" i="1"/>
  <c r="P184" i="1" s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AK134" i="1"/>
  <c r="O134" i="1"/>
  <c r="Q109" i="1"/>
  <c r="P109" i="1" s="1"/>
  <c r="O109" i="1"/>
  <c r="AF165" i="1"/>
  <c r="O165" i="1"/>
  <c r="BH191" i="1"/>
  <c r="BH102" i="1"/>
  <c r="BH92" i="1"/>
  <c r="BH82" i="1"/>
  <c r="AF61" i="1"/>
  <c r="O61" i="1"/>
  <c r="AF73" i="1"/>
  <c r="O73" i="1"/>
  <c r="O105" i="1"/>
  <c r="AF177" i="1"/>
  <c r="AK112" i="1"/>
  <c r="O112" i="1"/>
  <c r="BH148" i="1"/>
  <c r="BH149" i="1"/>
  <c r="BH104" i="1"/>
  <c r="AF197" i="1"/>
  <c r="O197" i="1"/>
  <c r="BH133" i="1"/>
  <c r="N53" i="1"/>
  <c r="BH193" i="1"/>
  <c r="BH173" i="1"/>
  <c r="BH138" i="1"/>
  <c r="BH128" i="1"/>
  <c r="BH129" i="1"/>
  <c r="AK196" i="1"/>
  <c r="O196" i="1"/>
  <c r="Q66" i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Q101" i="1"/>
  <c r="P101" i="1" s="1"/>
  <c r="O101" i="1"/>
  <c r="AK151" i="1"/>
  <c r="O151" i="1"/>
  <c r="BH24" i="1"/>
  <c r="O24" i="1" s="1"/>
  <c r="N96" i="1"/>
  <c r="BH119" i="1"/>
  <c r="BH65" i="1"/>
  <c r="BH175" i="1"/>
  <c r="BH164" i="1"/>
  <c r="BH165" i="1"/>
  <c r="BH100" i="1"/>
  <c r="BH116" i="1"/>
  <c r="AK60" i="1"/>
  <c r="O60" i="1"/>
  <c r="AF162" i="1"/>
  <c r="O162" i="1"/>
  <c r="BH108" i="1"/>
  <c r="BH97" i="1"/>
  <c r="BH158" i="1"/>
  <c r="BH77" i="1"/>
  <c r="BH177" i="1"/>
  <c r="AF86" i="1"/>
  <c r="O86" i="1"/>
  <c r="BH109" i="1"/>
  <c r="BH170" i="1"/>
  <c r="BH188" i="1"/>
  <c r="BH189" i="1"/>
  <c r="BH124" i="1"/>
  <c r="BH178" i="1"/>
  <c r="O106" i="1"/>
  <c r="AF58" i="1"/>
  <c r="O58" i="1"/>
  <c r="Q192" i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O28" i="1" s="1"/>
  <c r="BH22" i="1"/>
  <c r="O22" i="1" s="1"/>
  <c r="AF42" i="1"/>
  <c r="BH51" i="1"/>
  <c r="O51" i="1" s="1"/>
  <c r="BH38" i="1"/>
  <c r="O38" i="1" s="1"/>
  <c r="BH39" i="1"/>
  <c r="O39" i="1" s="1"/>
  <c r="AF49" i="1"/>
  <c r="BH27" i="1"/>
  <c r="O27" i="1" s="1"/>
  <c r="AF37" i="1"/>
  <c r="BH37" i="1"/>
  <c r="O37" i="1" s="1"/>
  <c r="Q30" i="1"/>
  <c r="P30" i="1" s="1"/>
  <c r="AF51" i="1"/>
  <c r="Q40" i="1"/>
  <c r="P40" i="1" s="1"/>
  <c r="BH48" i="1"/>
  <c r="O48" i="1" s="1"/>
  <c r="Q57" i="1"/>
  <c r="P57" i="1" s="1"/>
  <c r="Q34" i="1"/>
  <c r="P34" i="1" s="1"/>
  <c r="Q26" i="1"/>
  <c r="P26" i="1" s="1"/>
  <c r="O26" i="1"/>
  <c r="BH45" i="1"/>
  <c r="O45" i="1" s="1"/>
  <c r="O31" i="1"/>
  <c r="Q24" i="1"/>
  <c r="P24" i="1" s="1"/>
  <c r="AF28" i="1"/>
  <c r="BH25" i="1"/>
  <c r="O25" i="1" s="1"/>
  <c r="N36" i="1"/>
  <c r="Q55" i="1"/>
  <c r="P55" i="1" s="1"/>
  <c r="BH44" i="1"/>
  <c r="O44" i="1" s="1"/>
  <c r="BH23" i="1"/>
  <c r="O23" i="1" s="1"/>
  <c r="BH43" i="1"/>
  <c r="O43" i="1" s="1"/>
  <c r="Q35" i="1"/>
  <c r="P35" i="1" s="1"/>
  <c r="Q21" i="1"/>
  <c r="P21" i="1" s="1"/>
  <c r="Q16" i="1"/>
  <c r="P16" i="1" s="1"/>
  <c r="BH54" i="1"/>
  <c r="O54" i="1" s="1"/>
  <c r="BH42" i="1"/>
  <c r="O42" i="1" s="1"/>
  <c r="BH56" i="1"/>
  <c r="O56" i="1" s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AF136" i="1"/>
  <c r="AF55" i="1"/>
  <c r="AK84" i="1"/>
  <c r="AK136" i="1"/>
  <c r="AF120" i="1"/>
  <c r="AK144" i="1"/>
  <c r="AK157" i="1"/>
  <c r="AF84" i="1"/>
  <c r="AF169" i="1"/>
  <c r="AF188" i="1"/>
  <c r="AK120" i="1"/>
  <c r="AF144" i="1"/>
  <c r="AF150" i="1"/>
  <c r="AK188" i="1"/>
  <c r="AF111" i="1"/>
  <c r="AK156" i="1"/>
  <c r="AF149" i="1"/>
  <c r="AK195" i="1"/>
  <c r="Q195" i="1"/>
  <c r="P195" i="1" s="1"/>
  <c r="Q148" i="1"/>
  <c r="P148" i="1" s="1"/>
  <c r="AK169" i="1"/>
  <c r="AK149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AK96" i="1"/>
  <c r="Q96" i="1"/>
  <c r="P96" i="1" s="1"/>
  <c r="AF180" i="1"/>
  <c r="AF137" i="1"/>
  <c r="AF76" i="1"/>
  <c r="Q76" i="1"/>
  <c r="P76" i="1" s="1"/>
  <c r="AF74" i="1"/>
  <c r="Q74" i="1"/>
  <c r="P74" i="1" s="1"/>
  <c r="AK180" i="1"/>
  <c r="AF127" i="1"/>
  <c r="Q127" i="1"/>
  <c r="P127" i="1" s="1"/>
  <c r="AK111" i="1"/>
  <c r="AK165" i="1"/>
  <c r="Q193" i="1"/>
  <c r="P193" i="1" s="1"/>
  <c r="AF193" i="1"/>
  <c r="AK137" i="1"/>
  <c r="AK65" i="1"/>
  <c r="Q199" i="1"/>
  <c r="P199" i="1" s="1"/>
  <c r="AK199" i="1"/>
  <c r="AF63" i="1"/>
  <c r="AF124" i="1"/>
  <c r="AF181" i="1"/>
  <c r="AK133" i="1"/>
  <c r="N43" i="1"/>
  <c r="N41" i="1"/>
  <c r="AF57" i="1"/>
  <c r="N48" i="1"/>
  <c r="AF65" i="1"/>
  <c r="N50" i="1"/>
  <c r="N54" i="1"/>
  <c r="N47" i="1"/>
  <c r="N45" i="1"/>
  <c r="N44" i="1"/>
  <c r="Q72" i="1"/>
  <c r="P72" i="1" s="1"/>
  <c r="AF72" i="1"/>
  <c r="AK104" i="1"/>
  <c r="Q104" i="1"/>
  <c r="P104" i="1" s="1"/>
  <c r="AK140" i="1"/>
  <c r="Q140" i="1"/>
  <c r="P140" i="1" s="1"/>
  <c r="Q175" i="1"/>
  <c r="P175" i="1" s="1"/>
  <c r="AK175" i="1"/>
  <c r="AF175" i="1"/>
  <c r="Q33" i="1"/>
  <c r="P33" i="1" s="1"/>
  <c r="AF33" i="1"/>
  <c r="Q168" i="1"/>
  <c r="P168" i="1" s="1"/>
  <c r="AK168" i="1"/>
  <c r="Q123" i="1"/>
  <c r="P123" i="1" s="1"/>
  <c r="AK123" i="1"/>
  <c r="Q102" i="1"/>
  <c r="P102" i="1" s="1"/>
  <c r="AK102" i="1"/>
  <c r="AF102" i="1"/>
  <c r="Q143" i="1"/>
  <c r="P143" i="1" s="1"/>
  <c r="AF143" i="1"/>
  <c r="AK143" i="1"/>
  <c r="Q25" i="1"/>
  <c r="P25" i="1" s="1"/>
  <c r="AF25" i="1"/>
  <c r="AK135" i="1"/>
  <c r="AF135" i="1"/>
  <c r="Q135" i="1"/>
  <c r="P135" i="1" s="1"/>
  <c r="AK182" i="1"/>
  <c r="AK148" i="1"/>
  <c r="Q100" i="1"/>
  <c r="P100" i="1" s="1"/>
  <c r="AK100" i="1"/>
  <c r="Q83" i="1"/>
  <c r="P83" i="1" s="1"/>
  <c r="AF83" i="1"/>
  <c r="AK83" i="1"/>
  <c r="Q60" i="1"/>
  <c r="P60" i="1" s="1"/>
  <c r="AF19" i="1"/>
  <c r="AK63" i="1"/>
  <c r="Q95" i="1"/>
  <c r="P95" i="1" s="1"/>
  <c r="AF95" i="1"/>
  <c r="AK95" i="1"/>
  <c r="AK106" i="1"/>
  <c r="Q106" i="1"/>
  <c r="P106" i="1" s="1"/>
  <c r="Q119" i="1"/>
  <c r="P119" i="1" s="1"/>
  <c r="AF119" i="1"/>
  <c r="AF133" i="1"/>
  <c r="AF189" i="1"/>
  <c r="AK172" i="1"/>
  <c r="AF172" i="1"/>
  <c r="Q172" i="1"/>
  <c r="P172" i="1" s="1"/>
  <c r="AK92" i="1"/>
  <c r="Q92" i="1"/>
  <c r="P92" i="1" s="1"/>
  <c r="AF92" i="1"/>
  <c r="AK72" i="1"/>
  <c r="AF123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AK184" i="1"/>
  <c r="Q105" i="1"/>
  <c r="P105" i="1" s="1"/>
  <c r="AF105" i="1"/>
  <c r="AK105" i="1"/>
  <c r="Q75" i="1"/>
  <c r="P75" i="1" s="1"/>
  <c r="AK75" i="1"/>
  <c r="AF75" i="1"/>
  <c r="AF182" i="1"/>
  <c r="Q170" i="1"/>
  <c r="P170" i="1" s="1"/>
  <c r="AF170" i="1"/>
  <c r="Q161" i="1"/>
  <c r="P161" i="1" s="1"/>
  <c r="AF161" i="1"/>
  <c r="AK161" i="1"/>
  <c r="AK153" i="1"/>
  <c r="Q153" i="1"/>
  <c r="P153" i="1" s="1"/>
  <c r="AF153" i="1"/>
  <c r="AF104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AK162" i="1"/>
  <c r="Q162" i="1"/>
  <c r="P162" i="1" s="1"/>
  <c r="AK115" i="1"/>
  <c r="Q115" i="1"/>
  <c r="P115" i="1" s="1"/>
  <c r="AK191" i="1"/>
  <c r="Q191" i="1"/>
  <c r="P191" i="1" s="1"/>
  <c r="Q37" i="1" l="1"/>
  <c r="P37" i="1" s="1"/>
  <c r="AF112" i="1"/>
  <c r="Q112" i="1"/>
  <c r="P112" i="1" s="1"/>
  <c r="AF60" i="1"/>
  <c r="AK197" i="1"/>
  <c r="Q86" i="1"/>
  <c r="P86" i="1" s="1"/>
  <c r="AF184" i="1"/>
  <c r="AK86" i="1"/>
  <c r="Q28" i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S14" i="1" l="1"/>
  <c r="U14" i="1" s="1"/>
  <c r="AJ22" i="2" l="1"/>
  <c r="AS14" i="1" l="1"/>
  <c r="AV14" i="1"/>
  <c r="AT14" i="1" l="1"/>
  <c r="L14" i="1"/>
  <c r="M14" i="1" s="1"/>
  <c r="AW14" i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H2" i="1" l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Q14" i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BH15" i="1" l="1"/>
  <c r="O15" i="1" s="1"/>
  <c r="BH14" i="1"/>
  <c r="O14" i="1" s="1"/>
  <c r="Y14" i="1"/>
  <c r="Z14" i="1" s="1"/>
  <c r="J6" i="1" l="1"/>
  <c r="I6" i="1" s="1"/>
  <c r="H6" i="1" s="1"/>
  <c r="K7" i="1"/>
  <c r="J7" i="1" s="1"/>
  <c r="I7" i="1" s="1"/>
  <c r="H7" i="1" s="1"/>
  <c r="AC14" i="1"/>
  <c r="AB14" i="1"/>
  <c r="AA14" i="1"/>
  <c r="AD14" i="1" s="1"/>
  <c r="AE14" i="1" l="1"/>
  <c r="AG14" i="1"/>
  <c r="AH14" i="1" l="1"/>
  <c r="AI14" i="1"/>
  <c r="AN14" i="1"/>
  <c r="AJ14" i="1" s="1"/>
  <c r="AK14" i="1" s="1"/>
  <c r="AM17" i="1"/>
  <c r="AQ17" i="1" s="1"/>
  <c r="AM15" i="1"/>
  <c r="AQ15" i="1" s="1"/>
  <c r="AM16" i="1"/>
  <c r="AQ16" i="1" s="1"/>
  <c r="V16" i="1" l="1"/>
  <c r="W16" i="1" s="1"/>
  <c r="T15" i="1"/>
  <c r="T16" i="1"/>
  <c r="V15" i="1"/>
  <c r="V17" i="1"/>
  <c r="W17" i="1" s="1"/>
  <c r="T17" i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N16" i="1" s="1"/>
  <c r="AC15" i="1"/>
  <c r="AM18" i="1" s="1"/>
  <c r="AQ18" i="1" s="1"/>
  <c r="AA17" i="1"/>
  <c r="AD17" i="1" s="1"/>
  <c r="AE17" i="1" s="1"/>
  <c r="AN17" i="1" s="1"/>
  <c r="V20" i="1"/>
  <c r="W20" i="1" s="1"/>
  <c r="T20" i="1"/>
  <c r="V19" i="1"/>
  <c r="W19" i="1" s="1"/>
  <c r="X19" i="1" s="1"/>
  <c r="T19" i="1"/>
  <c r="AG17" i="1" l="1"/>
  <c r="AG16" i="1"/>
  <c r="AE15" i="1"/>
  <c r="AN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Y19" i="1"/>
  <c r="AB19" i="1" s="1"/>
  <c r="AH16" i="1"/>
  <c r="AI16" i="1"/>
  <c r="X20" i="1"/>
  <c r="AI17" i="1"/>
  <c r="AH17" i="1"/>
  <c r="AG15" i="1" l="1"/>
  <c r="AJ15" i="1"/>
  <c r="AK15" i="1" s="1"/>
  <c r="AB18" i="1"/>
  <c r="V21" i="1"/>
  <c r="AA18" i="1"/>
  <c r="AD18" i="1" s="1"/>
  <c r="T21" i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H15" i="1" l="1"/>
  <c r="AE18" i="1"/>
  <c r="AN18" i="1" s="1"/>
  <c r="AA19" i="1"/>
  <c r="AD19" i="1" s="1"/>
  <c r="AE19" i="1" s="1"/>
  <c r="AN19" i="1" s="1"/>
  <c r="V22" i="1"/>
  <c r="T22" i="1"/>
  <c r="AJ22" i="1" s="1"/>
  <c r="AK22" i="1" s="1"/>
  <c r="Z20" i="1"/>
  <c r="AC20" i="1" s="1"/>
  <c r="AM23" i="1" s="1"/>
  <c r="AQ23" i="1" s="1"/>
  <c r="AB20" i="1"/>
  <c r="X21" i="1"/>
  <c r="AG19" i="1" l="1"/>
  <c r="AG18" i="1"/>
  <c r="AA20" i="1"/>
  <c r="AD20" i="1" s="1"/>
  <c r="AE20" i="1" s="1"/>
  <c r="AN20" i="1" s="1"/>
  <c r="AH19" i="1"/>
  <c r="AI19" i="1"/>
  <c r="V23" i="1"/>
  <c r="W23" i="1" s="1"/>
  <c r="X23" i="1" s="1"/>
  <c r="T23" i="1"/>
  <c r="AJ23" i="1" s="1"/>
  <c r="AK23" i="1" s="1"/>
  <c r="Y21" i="1"/>
  <c r="W22" i="1"/>
  <c r="AI18" i="1" l="1"/>
  <c r="AG20" i="1"/>
  <c r="AH18" i="1"/>
  <c r="AI20" i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N21" i="1" s="1"/>
  <c r="Y22" i="1"/>
  <c r="V24" i="1"/>
  <c r="W24" i="1" s="1"/>
  <c r="T24" i="1"/>
  <c r="AJ24" i="1" s="1"/>
  <c r="AK24" i="1" s="1"/>
  <c r="Z23" i="1"/>
  <c r="AC23" i="1" s="1"/>
  <c r="AM26" i="1" s="1"/>
  <c r="AQ26" i="1" s="1"/>
  <c r="AG21" i="1" l="1"/>
  <c r="AH21" i="1"/>
  <c r="X24" i="1"/>
  <c r="AA23" i="1"/>
  <c r="AD23" i="1" s="1"/>
  <c r="AE23" i="1" s="1"/>
  <c r="AN23" i="1" s="1"/>
  <c r="V26" i="1"/>
  <c r="W26" i="1" s="1"/>
  <c r="X26" i="1" s="1"/>
  <c r="T26" i="1"/>
  <c r="AJ26" i="1" s="1"/>
  <c r="AK26" i="1" s="1"/>
  <c r="Z22" i="1"/>
  <c r="AC22" i="1" s="1"/>
  <c r="AM25" i="1" s="1"/>
  <c r="AQ25" i="1" s="1"/>
  <c r="AB22" i="1"/>
  <c r="AG23" i="1" l="1"/>
  <c r="AH23" i="1" s="1"/>
  <c r="AI21" i="1"/>
  <c r="V25" i="1"/>
  <c r="W25" i="1" s="1"/>
  <c r="T25" i="1"/>
  <c r="AJ25" i="1" s="1"/>
  <c r="AK25" i="1" s="1"/>
  <c r="Y26" i="1"/>
  <c r="Y24" i="1"/>
  <c r="AA22" i="1"/>
  <c r="AD22" i="1" s="1"/>
  <c r="AE22" i="1" s="1"/>
  <c r="AN22" i="1" s="1"/>
  <c r="AI23" i="1" l="1"/>
  <c r="AG22" i="1"/>
  <c r="AI22" i="1" s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H22" i="1" l="1"/>
  <c r="AA24" i="1"/>
  <c r="AD24" i="1" s="1"/>
  <c r="AE24" i="1" s="1"/>
  <c r="AN24" i="1" s="1"/>
  <c r="V29" i="1"/>
  <c r="W29" i="1" s="1"/>
  <c r="X29" i="1" s="1"/>
  <c r="T29" i="1"/>
  <c r="AJ29" i="1" s="1"/>
  <c r="AK29" i="1" s="1"/>
  <c r="V27" i="1"/>
  <c r="W27" i="1" s="1"/>
  <c r="T27" i="1"/>
  <c r="AJ27" i="1" s="1"/>
  <c r="AK27" i="1" s="1"/>
  <c r="Y25" i="1"/>
  <c r="AA26" i="1"/>
  <c r="AD26" i="1" s="1"/>
  <c r="AE26" i="1" s="1"/>
  <c r="AN26" i="1" s="1"/>
  <c r="AG26" i="1" l="1"/>
  <c r="AG24" i="1"/>
  <c r="AH24" i="1" s="1"/>
  <c r="AH26" i="1"/>
  <c r="AI26" i="1"/>
  <c r="Z25" i="1"/>
  <c r="AC25" i="1" s="1"/>
  <c r="AM28" i="1" s="1"/>
  <c r="AQ28" i="1" s="1"/>
  <c r="AB25" i="1"/>
  <c r="Y29" i="1"/>
  <c r="X27" i="1"/>
  <c r="AI24" i="1" l="1"/>
  <c r="AA25" i="1"/>
  <c r="AD25" i="1" s="1"/>
  <c r="AE25" i="1" s="1"/>
  <c r="AN25" i="1" s="1"/>
  <c r="Z29" i="1"/>
  <c r="AC29" i="1" s="1"/>
  <c r="AM32" i="1" s="1"/>
  <c r="AQ32" i="1" s="1"/>
  <c r="Y27" i="1"/>
  <c r="AB29" i="1"/>
  <c r="V28" i="1"/>
  <c r="W28" i="1" s="1"/>
  <c r="X28" i="1" s="1"/>
  <c r="T28" i="1"/>
  <c r="AJ28" i="1" s="1"/>
  <c r="AK28" i="1" s="1"/>
  <c r="AG25" i="1" l="1"/>
  <c r="AA29" i="1"/>
  <c r="AD29" i="1" s="1"/>
  <c r="AE29" i="1" s="1"/>
  <c r="AN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J32" i="1" s="1"/>
  <c r="AK32" i="1" s="1"/>
  <c r="AG29" i="1" l="1"/>
  <c r="AH29" i="1" s="1"/>
  <c r="AA27" i="1"/>
  <c r="AD27" i="1" s="1"/>
  <c r="AE27" i="1" s="1"/>
  <c r="AN27" i="1" s="1"/>
  <c r="X32" i="1"/>
  <c r="Y32" i="1" s="1"/>
  <c r="AB32" i="1" s="1"/>
  <c r="V30" i="1"/>
  <c r="W30" i="1" s="1"/>
  <c r="X30" i="1" s="1"/>
  <c r="T30" i="1"/>
  <c r="AJ30" i="1" s="1"/>
  <c r="AK30" i="1" s="1"/>
  <c r="Z28" i="1"/>
  <c r="AC28" i="1" s="1"/>
  <c r="AM31" i="1" s="1"/>
  <c r="AQ31" i="1" s="1"/>
  <c r="AI29" i="1" l="1"/>
  <c r="AG27" i="1"/>
  <c r="AI27" i="1" s="1"/>
  <c r="V31" i="1"/>
  <c r="W31" i="1" s="1"/>
  <c r="X31" i="1" s="1"/>
  <c r="T31" i="1"/>
  <c r="AJ31" i="1" s="1"/>
  <c r="AK31" i="1" s="1"/>
  <c r="Y30" i="1"/>
  <c r="AB30" i="1" s="1"/>
  <c r="AA28" i="1"/>
  <c r="AD28" i="1" s="1"/>
  <c r="AE28" i="1" s="1"/>
  <c r="AN28" i="1" s="1"/>
  <c r="Z32" i="1"/>
  <c r="AC32" i="1" s="1"/>
  <c r="AM35" i="1" s="1"/>
  <c r="AQ35" i="1" s="1"/>
  <c r="AH27" i="1" l="1"/>
  <c r="AG28" i="1"/>
  <c r="Z30" i="1"/>
  <c r="AC30" i="1" s="1"/>
  <c r="AM33" i="1" s="1"/>
  <c r="AQ33" i="1" s="1"/>
  <c r="V35" i="1"/>
  <c r="W35" i="1" s="1"/>
  <c r="T35" i="1"/>
  <c r="AJ35" i="1" s="1"/>
  <c r="AK35" i="1" s="1"/>
  <c r="AA32" i="1"/>
  <c r="AD32" i="1" s="1"/>
  <c r="AE32" i="1" s="1"/>
  <c r="AN32" i="1" s="1"/>
  <c r="Y31" i="1"/>
  <c r="AI28" i="1"/>
  <c r="AH28" i="1"/>
  <c r="AG32" i="1" l="1"/>
  <c r="AA30" i="1"/>
  <c r="AD30" i="1" s="1"/>
  <c r="AE30" i="1" s="1"/>
  <c r="AN30" i="1" s="1"/>
  <c r="Z31" i="1"/>
  <c r="AC31" i="1" s="1"/>
  <c r="AM34" i="1" s="1"/>
  <c r="AQ34" i="1" s="1"/>
  <c r="AI32" i="1"/>
  <c r="AH32" i="1"/>
  <c r="AB31" i="1"/>
  <c r="X35" i="1"/>
  <c r="V33" i="1"/>
  <c r="T33" i="1"/>
  <c r="AJ33" i="1" s="1"/>
  <c r="AK33" i="1" s="1"/>
  <c r="AG30" i="1" l="1"/>
  <c r="AA31" i="1"/>
  <c r="AD31" i="1" s="1"/>
  <c r="AE31" i="1" s="1"/>
  <c r="AN31" i="1" s="1"/>
  <c r="AH30" i="1"/>
  <c r="AI30" i="1"/>
  <c r="W33" i="1"/>
  <c r="X33" i="1" s="1"/>
  <c r="Y35" i="1"/>
  <c r="V34" i="1"/>
  <c r="W34" i="1" s="1"/>
  <c r="X34" i="1" s="1"/>
  <c r="T34" i="1"/>
  <c r="AJ34" i="1" s="1"/>
  <c r="AK34" i="1" s="1"/>
  <c r="AG31" i="1" l="1"/>
  <c r="AH31" i="1" s="1"/>
  <c r="Y34" i="1"/>
  <c r="AB34" i="1" s="1"/>
  <c r="Y33" i="1"/>
  <c r="Z35" i="1"/>
  <c r="AC35" i="1" s="1"/>
  <c r="AM38" i="1" s="1"/>
  <c r="AQ38" i="1" s="1"/>
  <c r="AB35" i="1"/>
  <c r="AI31" i="1" l="1"/>
  <c r="AA35" i="1"/>
  <c r="AD35" i="1" s="1"/>
  <c r="AE35" i="1" s="1"/>
  <c r="AN35" i="1" s="1"/>
  <c r="V38" i="1"/>
  <c r="W38" i="1" s="1"/>
  <c r="X38" i="1" s="1"/>
  <c r="T38" i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G35" i="1" l="1"/>
  <c r="AA34" i="1"/>
  <c r="AD34" i="1" s="1"/>
  <c r="AE34" i="1" s="1"/>
  <c r="AN34" i="1" s="1"/>
  <c r="AH35" i="1"/>
  <c r="AI35" i="1"/>
  <c r="AA33" i="1"/>
  <c r="AD33" i="1" s="1"/>
  <c r="AE33" i="1" s="1"/>
  <c r="AN33" i="1" s="1"/>
  <c r="V36" i="1"/>
  <c r="W36" i="1" s="1"/>
  <c r="T36" i="1"/>
  <c r="AJ36" i="1" s="1"/>
  <c r="AK36" i="1" s="1"/>
  <c r="Y38" i="1"/>
  <c r="V37" i="1"/>
  <c r="W37" i="1" s="1"/>
  <c r="T37" i="1"/>
  <c r="AJ37" i="1" s="1"/>
  <c r="AK37" i="1" s="1"/>
  <c r="AG33" i="1" l="1"/>
  <c r="AG34" i="1"/>
  <c r="Z38" i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N38" i="1" s="1"/>
  <c r="Y37" i="1"/>
  <c r="Y36" i="1"/>
  <c r="V41" i="1"/>
  <c r="T41" i="1"/>
  <c r="AJ41" i="1" s="1"/>
  <c r="AK41" i="1" s="1"/>
  <c r="AG38" i="1" l="1"/>
  <c r="W41" i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N36" i="1" s="1"/>
  <c r="V40" i="1"/>
  <c r="T40" i="1"/>
  <c r="AJ40" i="1" s="1"/>
  <c r="AK40" i="1" s="1"/>
  <c r="AA37" i="1"/>
  <c r="AD37" i="1" s="1"/>
  <c r="AE37" i="1" s="1"/>
  <c r="AN37" i="1" s="1"/>
  <c r="V39" i="1"/>
  <c r="T39" i="1"/>
  <c r="AJ39" i="1" s="1"/>
  <c r="AK39" i="1" s="1"/>
  <c r="Y41" i="1"/>
  <c r="AG37" i="1" l="1"/>
  <c r="AG36" i="1"/>
  <c r="AH36" i="1" s="1"/>
  <c r="AH37" i="1"/>
  <c r="AI37" i="1"/>
  <c r="Z41" i="1"/>
  <c r="AC41" i="1" s="1"/>
  <c r="AM44" i="1" s="1"/>
  <c r="AQ44" i="1" s="1"/>
  <c r="AB41" i="1"/>
  <c r="W39" i="1"/>
  <c r="X39" i="1" s="1"/>
  <c r="W40" i="1"/>
  <c r="AI36" i="1" l="1"/>
  <c r="AA41" i="1"/>
  <c r="AD41" i="1" s="1"/>
  <c r="AE41" i="1" s="1"/>
  <c r="AN41" i="1" s="1"/>
  <c r="Y39" i="1"/>
  <c r="V44" i="1"/>
  <c r="W44" i="1" s="1"/>
  <c r="X44" i="1" s="1"/>
  <c r="T44" i="1"/>
  <c r="AJ44" i="1" s="1"/>
  <c r="AK44" i="1" s="1"/>
  <c r="X40" i="1"/>
  <c r="AG41" i="1" l="1"/>
  <c r="AI41" i="1" s="1"/>
  <c r="Y40" i="1"/>
  <c r="Y44" i="1"/>
  <c r="AB44" i="1" s="1"/>
  <c r="Z39" i="1"/>
  <c r="AC39" i="1" s="1"/>
  <c r="AM42" i="1" s="1"/>
  <c r="AQ42" i="1" s="1"/>
  <c r="AB39" i="1"/>
  <c r="AH41" i="1" l="1"/>
  <c r="AA39" i="1"/>
  <c r="AD39" i="1" s="1"/>
  <c r="AE39" i="1" s="1"/>
  <c r="AN39" i="1" s="1"/>
  <c r="V42" i="1"/>
  <c r="W42" i="1" s="1"/>
  <c r="T42" i="1"/>
  <c r="AJ42" i="1" s="1"/>
  <c r="AK42" i="1" s="1"/>
  <c r="Z44" i="1"/>
  <c r="AC44" i="1" s="1"/>
  <c r="AM47" i="1" s="1"/>
  <c r="AQ47" i="1" s="1"/>
  <c r="Z40" i="1"/>
  <c r="AC40" i="1" s="1"/>
  <c r="AM43" i="1" s="1"/>
  <c r="AQ43" i="1" s="1"/>
  <c r="AB40" i="1"/>
  <c r="AG39" i="1" l="1"/>
  <c r="AH39" i="1" s="1"/>
  <c r="AI39" i="1"/>
  <c r="V47" i="1"/>
  <c r="W47" i="1" s="1"/>
  <c r="X47" i="1" s="1"/>
  <c r="T47" i="1"/>
  <c r="AJ47" i="1" s="1"/>
  <c r="AK47" i="1" s="1"/>
  <c r="AA44" i="1"/>
  <c r="AD44" i="1" s="1"/>
  <c r="AE44" i="1" s="1"/>
  <c r="AN44" i="1" s="1"/>
  <c r="X42" i="1"/>
  <c r="AA40" i="1"/>
  <c r="AD40" i="1" s="1"/>
  <c r="AE40" i="1" s="1"/>
  <c r="AN40" i="1" s="1"/>
  <c r="V43" i="1"/>
  <c r="W43" i="1" s="1"/>
  <c r="X43" i="1" s="1"/>
  <c r="T43" i="1"/>
  <c r="AJ43" i="1" s="1"/>
  <c r="AK43" i="1" s="1"/>
  <c r="AG44" i="1" l="1"/>
  <c r="AG40" i="1"/>
  <c r="AI40" i="1" s="1"/>
  <c r="Y43" i="1"/>
  <c r="Y42" i="1"/>
  <c r="AI44" i="1"/>
  <c r="AH44" i="1"/>
  <c r="AB43" i="1"/>
  <c r="Y47" i="1"/>
  <c r="AH40" i="1" l="1"/>
  <c r="Z47" i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N42" i="1" s="1"/>
  <c r="AA43" i="1"/>
  <c r="AD43" i="1" s="1"/>
  <c r="AA47" i="1"/>
  <c r="AD47" i="1" s="1"/>
  <c r="AE47" i="1" s="1"/>
  <c r="AN47" i="1" s="1"/>
  <c r="V46" i="1"/>
  <c r="W46" i="1" s="1"/>
  <c r="X46" i="1" s="1"/>
  <c r="T46" i="1"/>
  <c r="AJ46" i="1" s="1"/>
  <c r="AK46" i="1" s="1"/>
  <c r="AE43" i="1"/>
  <c r="AN43" i="1" s="1"/>
  <c r="V45" i="1"/>
  <c r="W45" i="1" s="1"/>
  <c r="T45" i="1"/>
  <c r="AJ45" i="1" s="1"/>
  <c r="AK45" i="1" s="1"/>
  <c r="V50" i="1"/>
  <c r="T50" i="1"/>
  <c r="AJ50" i="1" s="1"/>
  <c r="AK50" i="1" s="1"/>
  <c r="AG43" i="1" l="1"/>
  <c r="AG47" i="1"/>
  <c r="AG42" i="1"/>
  <c r="AI42" i="1" s="1"/>
  <c r="AH47" i="1"/>
  <c r="AI47" i="1"/>
  <c r="Y46" i="1"/>
  <c r="AI43" i="1"/>
  <c r="AH43" i="1"/>
  <c r="AH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J49" i="1" s="1"/>
  <c r="AK49" i="1" s="1"/>
  <c r="AA46" i="1"/>
  <c r="AD46" i="1" s="1"/>
  <c r="AE46" i="1" s="1"/>
  <c r="AN46" i="1" s="1"/>
  <c r="Y50" i="1"/>
  <c r="Z45" i="1"/>
  <c r="AC45" i="1" s="1"/>
  <c r="AM48" i="1" s="1"/>
  <c r="AQ48" i="1" s="1"/>
  <c r="AB45" i="1"/>
  <c r="AG46" i="1" l="1"/>
  <c r="AI46" i="1" s="1"/>
  <c r="V48" i="1"/>
  <c r="W48" i="1" s="1"/>
  <c r="X48" i="1" s="1"/>
  <c r="T48" i="1"/>
  <c r="AJ48" i="1" s="1"/>
  <c r="AK48" i="1" s="1"/>
  <c r="Z50" i="1"/>
  <c r="AC50" i="1" s="1"/>
  <c r="AM53" i="1" s="1"/>
  <c r="AQ53" i="1" s="1"/>
  <c r="AB50" i="1"/>
  <c r="AA45" i="1"/>
  <c r="AD45" i="1" s="1"/>
  <c r="AE45" i="1" s="1"/>
  <c r="AN45" i="1" s="1"/>
  <c r="X49" i="1"/>
  <c r="AH46" i="1" l="1"/>
  <c r="AG45" i="1"/>
  <c r="AA50" i="1"/>
  <c r="AD50" i="1" s="1"/>
  <c r="AE50" i="1" s="1"/>
  <c r="AN50" i="1" s="1"/>
  <c r="AI45" i="1"/>
  <c r="AH45" i="1"/>
  <c r="Y49" i="1"/>
  <c r="V53" i="1"/>
  <c r="W53" i="1" s="1"/>
  <c r="T53" i="1"/>
  <c r="AJ53" i="1" s="1"/>
  <c r="AK53" i="1" s="1"/>
  <c r="Y48" i="1"/>
  <c r="AG50" i="1" l="1"/>
  <c r="X53" i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N48" i="1" s="1"/>
  <c r="V52" i="1"/>
  <c r="W52" i="1" s="1"/>
  <c r="T52" i="1"/>
  <c r="AJ52" i="1" s="1"/>
  <c r="AK52" i="1" s="1"/>
  <c r="AA49" i="1"/>
  <c r="AD49" i="1" s="1"/>
  <c r="AE49" i="1" s="1"/>
  <c r="AN49" i="1" s="1"/>
  <c r="V51" i="1"/>
  <c r="T51" i="1"/>
  <c r="AJ51" i="1" s="1"/>
  <c r="AK51" i="1" s="1"/>
  <c r="Y53" i="1"/>
  <c r="AG49" i="1" l="1"/>
  <c r="AI49" i="1" s="1"/>
  <c r="AG48" i="1"/>
  <c r="AH48" i="1" s="1"/>
  <c r="Z53" i="1"/>
  <c r="AC53" i="1" s="1"/>
  <c r="AM56" i="1" s="1"/>
  <c r="AQ56" i="1" s="1"/>
  <c r="AB53" i="1"/>
  <c r="X52" i="1"/>
  <c r="W51" i="1"/>
  <c r="AI48" i="1" l="1"/>
  <c r="AH49" i="1"/>
  <c r="AA53" i="1"/>
  <c r="AD53" i="1" s="1"/>
  <c r="AE53" i="1" s="1"/>
  <c r="AN53" i="1" s="1"/>
  <c r="X51" i="1"/>
  <c r="Y52" i="1"/>
  <c r="V56" i="1"/>
  <c r="W56" i="1" s="1"/>
  <c r="T56" i="1"/>
  <c r="AJ56" i="1" s="1"/>
  <c r="AK56" i="1" s="1"/>
  <c r="AG53" i="1" l="1"/>
  <c r="AI53" i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N52" i="1" s="1"/>
  <c r="Z51" i="1"/>
  <c r="AC51" i="1" s="1"/>
  <c r="AM54" i="1" s="1"/>
  <c r="AQ54" i="1" s="1"/>
  <c r="AB51" i="1"/>
  <c r="V55" i="1"/>
  <c r="W55" i="1" s="1"/>
  <c r="X55" i="1" s="1"/>
  <c r="T55" i="1"/>
  <c r="AJ55" i="1" s="1"/>
  <c r="AK55" i="1" s="1"/>
  <c r="Y56" i="1"/>
  <c r="AG52" i="1" l="1"/>
  <c r="AI52" i="1" s="1"/>
  <c r="AA51" i="1"/>
  <c r="AD51" i="1" s="1"/>
  <c r="AE51" i="1" s="1"/>
  <c r="AN51" i="1" s="1"/>
  <c r="Y55" i="1"/>
  <c r="AB55" i="1" s="1"/>
  <c r="V54" i="1"/>
  <c r="W54" i="1" s="1"/>
  <c r="X54" i="1" s="1"/>
  <c r="T54" i="1"/>
  <c r="AJ54" i="1" s="1"/>
  <c r="AK54" i="1" s="1"/>
  <c r="Z56" i="1"/>
  <c r="AC56" i="1" s="1"/>
  <c r="AM59" i="1" s="1"/>
  <c r="AQ59" i="1" s="1"/>
  <c r="AB56" i="1"/>
  <c r="AH52" i="1" l="1"/>
  <c r="AG51" i="1"/>
  <c r="AI51" i="1"/>
  <c r="AH51" i="1"/>
  <c r="AA56" i="1"/>
  <c r="AD56" i="1" s="1"/>
  <c r="AE56" i="1" s="1"/>
  <c r="AN56" i="1" s="1"/>
  <c r="Y54" i="1"/>
  <c r="AB54" i="1" s="1"/>
  <c r="V59" i="1"/>
  <c r="W59" i="1" s="1"/>
  <c r="X59" i="1" s="1"/>
  <c r="T59" i="1"/>
  <c r="Z55" i="1"/>
  <c r="AC55" i="1" s="1"/>
  <c r="AM58" i="1" s="1"/>
  <c r="AQ58" i="1" s="1"/>
  <c r="AG56" i="1" l="1"/>
  <c r="AH56" i="1" s="1"/>
  <c r="V58" i="1"/>
  <c r="T58" i="1"/>
  <c r="Y59" i="1"/>
  <c r="AB59" i="1" s="1"/>
  <c r="AA55" i="1"/>
  <c r="AD55" i="1" s="1"/>
  <c r="AE55" i="1" s="1"/>
  <c r="AN55" i="1" s="1"/>
  <c r="Z54" i="1"/>
  <c r="AC54" i="1" s="1"/>
  <c r="AM57" i="1" s="1"/>
  <c r="AQ57" i="1" s="1"/>
  <c r="AI56" i="1" l="1"/>
  <c r="AG55" i="1"/>
  <c r="AA54" i="1"/>
  <c r="AD54" i="1" s="1"/>
  <c r="AE54" i="1" s="1"/>
  <c r="AN54" i="1" s="1"/>
  <c r="AI55" i="1"/>
  <c r="AH55" i="1"/>
  <c r="Z59" i="1"/>
  <c r="AC59" i="1" s="1"/>
  <c r="AM62" i="1" s="1"/>
  <c r="AQ62" i="1" s="1"/>
  <c r="W58" i="1"/>
  <c r="V57" i="1"/>
  <c r="T57" i="1"/>
  <c r="AJ57" i="1" s="1"/>
  <c r="AK57" i="1" s="1"/>
  <c r="AG54" i="1" l="1"/>
  <c r="AH54" i="1" s="1"/>
  <c r="W57" i="1"/>
  <c r="X57" i="1" s="1"/>
  <c r="X58" i="1"/>
  <c r="AA59" i="1"/>
  <c r="AD59" i="1" s="1"/>
  <c r="AE59" i="1" s="1"/>
  <c r="AN59" i="1" s="1"/>
  <c r="V62" i="1"/>
  <c r="W62" i="1" s="1"/>
  <c r="T62" i="1"/>
  <c r="AI54" i="1" l="1"/>
  <c r="AG59" i="1"/>
  <c r="AI59" i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N58" i="1" s="1"/>
  <c r="AA57" i="1"/>
  <c r="AD57" i="1" s="1"/>
  <c r="AE57" i="1" s="1"/>
  <c r="AN57" i="1" s="1"/>
  <c r="Z62" i="1"/>
  <c r="AC62" i="1" s="1"/>
  <c r="AM65" i="1" s="1"/>
  <c r="AQ65" i="1" s="1"/>
  <c r="AB62" i="1"/>
  <c r="V60" i="1"/>
  <c r="W60" i="1" s="1"/>
  <c r="T60" i="1"/>
  <c r="V61" i="1"/>
  <c r="W61" i="1" s="1"/>
  <c r="T61" i="1"/>
  <c r="AG57" i="1" l="1"/>
  <c r="AH57" i="1" s="1"/>
  <c r="AG58" i="1"/>
  <c r="AI58" i="1" s="1"/>
  <c r="AI57" i="1"/>
  <c r="AA62" i="1"/>
  <c r="AD62" i="1" s="1"/>
  <c r="AE62" i="1" s="1"/>
  <c r="AN62" i="1" s="1"/>
  <c r="X60" i="1"/>
  <c r="V65" i="1"/>
  <c r="W65" i="1" s="1"/>
  <c r="X65" i="1" s="1"/>
  <c r="T65" i="1"/>
  <c r="X61" i="1"/>
  <c r="AH58" i="1" l="1"/>
  <c r="AG62" i="1"/>
  <c r="AI62" i="1" s="1"/>
  <c r="Y65" i="1"/>
  <c r="Y60" i="1"/>
  <c r="Y61" i="1"/>
  <c r="AH62" i="1" l="1"/>
  <c r="Z65" i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N65" i="1" s="1"/>
  <c r="AA60" i="1"/>
  <c r="AD60" i="1" s="1"/>
  <c r="AE60" i="1" s="1"/>
  <c r="AN60" i="1" s="1"/>
  <c r="V64" i="1"/>
  <c r="T64" i="1"/>
  <c r="AA61" i="1"/>
  <c r="AD61" i="1" s="1"/>
  <c r="AE61" i="1" s="1"/>
  <c r="AN61" i="1" s="1"/>
  <c r="V63" i="1"/>
  <c r="W63" i="1" s="1"/>
  <c r="X63" i="1" s="1"/>
  <c r="T63" i="1"/>
  <c r="V68" i="1"/>
  <c r="W68" i="1" s="1"/>
  <c r="X68" i="1" s="1"/>
  <c r="T68" i="1"/>
  <c r="AG61" i="1" l="1"/>
  <c r="AG60" i="1"/>
  <c r="AI60" i="1" s="1"/>
  <c r="AG65" i="1"/>
  <c r="AI65" i="1" s="1"/>
  <c r="AH61" i="1"/>
  <c r="AI61" i="1"/>
  <c r="Y63" i="1"/>
  <c r="AB63" i="1" s="1"/>
  <c r="Y68" i="1"/>
  <c r="W64" i="1"/>
  <c r="X64" i="1" s="1"/>
  <c r="AH60" i="1" l="1"/>
  <c r="AH65" i="1"/>
  <c r="Y64" i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N63" i="1" s="1"/>
  <c r="AA68" i="1"/>
  <c r="AD68" i="1" s="1"/>
  <c r="AE68" i="1" s="1"/>
  <c r="AN68" i="1" s="1"/>
  <c r="V66" i="1"/>
  <c r="W66" i="1" s="1"/>
  <c r="X66" i="1" s="1"/>
  <c r="T66" i="1"/>
  <c r="V71" i="1"/>
  <c r="W71" i="1" s="1"/>
  <c r="T71" i="1"/>
  <c r="Z64" i="1"/>
  <c r="AC64" i="1" s="1"/>
  <c r="AM67" i="1" s="1"/>
  <c r="AQ67" i="1" s="1"/>
  <c r="AB64" i="1"/>
  <c r="AG68" i="1" l="1"/>
  <c r="AG63" i="1"/>
  <c r="AI63" i="1" s="1"/>
  <c r="AH68" i="1"/>
  <c r="AI68" i="1"/>
  <c r="AA64" i="1"/>
  <c r="AD64" i="1" s="1"/>
  <c r="AE64" i="1" s="1"/>
  <c r="AN64" i="1" s="1"/>
  <c r="Y66" i="1"/>
  <c r="V67" i="1"/>
  <c r="W67" i="1" s="1"/>
  <c r="T67" i="1"/>
  <c r="X71" i="1"/>
  <c r="AH63" i="1" l="1"/>
  <c r="AG64" i="1"/>
  <c r="AI64" i="1" s="1"/>
  <c r="Z66" i="1"/>
  <c r="AC66" i="1" s="1"/>
  <c r="AM69" i="1" s="1"/>
  <c r="AQ69" i="1" s="1"/>
  <c r="Y71" i="1"/>
  <c r="AB66" i="1"/>
  <c r="X67" i="1"/>
  <c r="AH64" i="1" l="1"/>
  <c r="AA66" i="1"/>
  <c r="AD66" i="1" s="1"/>
  <c r="AE66" i="1" s="1"/>
  <c r="AN66" i="1" s="1"/>
  <c r="Y67" i="1"/>
  <c r="Z71" i="1"/>
  <c r="AC71" i="1" s="1"/>
  <c r="AM74" i="1" s="1"/>
  <c r="AQ74" i="1" s="1"/>
  <c r="AB71" i="1"/>
  <c r="V69" i="1"/>
  <c r="W69" i="1" s="1"/>
  <c r="T69" i="1"/>
  <c r="AG66" i="1" l="1"/>
  <c r="AI66" i="1"/>
  <c r="AH66" i="1"/>
  <c r="AA71" i="1"/>
  <c r="AD71" i="1" s="1"/>
  <c r="AE71" i="1" s="1"/>
  <c r="AN71" i="1" s="1"/>
  <c r="X69" i="1"/>
  <c r="Y69" i="1" s="1"/>
  <c r="V74" i="1"/>
  <c r="W74" i="1" s="1"/>
  <c r="T74" i="1"/>
  <c r="Z67" i="1"/>
  <c r="AC67" i="1" s="1"/>
  <c r="AM70" i="1" s="1"/>
  <c r="AQ70" i="1" s="1"/>
  <c r="AB67" i="1"/>
  <c r="AG71" i="1" l="1"/>
  <c r="AH71" i="1"/>
  <c r="AI71" i="1"/>
  <c r="Z69" i="1"/>
  <c r="AC69" i="1" s="1"/>
  <c r="AM72" i="1" s="1"/>
  <c r="AQ72" i="1" s="1"/>
  <c r="X74" i="1"/>
  <c r="AB69" i="1"/>
  <c r="AA67" i="1"/>
  <c r="AD67" i="1" s="1"/>
  <c r="AE67" i="1" s="1"/>
  <c r="AN67" i="1" s="1"/>
  <c r="V70" i="1"/>
  <c r="W70" i="1" s="1"/>
  <c r="T70" i="1"/>
  <c r="AG67" i="1" l="1"/>
  <c r="AH67" i="1" s="1"/>
  <c r="X70" i="1"/>
  <c r="Y74" i="1"/>
  <c r="AA69" i="1"/>
  <c r="AD69" i="1" s="1"/>
  <c r="AE69" i="1" s="1"/>
  <c r="AN69" i="1" s="1"/>
  <c r="V72" i="1"/>
  <c r="T72" i="1"/>
  <c r="AI67" i="1" l="1"/>
  <c r="AG69" i="1"/>
  <c r="AH69" i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N74" i="1" s="1"/>
  <c r="V77" i="1"/>
  <c r="T77" i="1"/>
  <c r="AG74" i="1" l="1"/>
  <c r="AA70" i="1"/>
  <c r="AD70" i="1" s="1"/>
  <c r="AE70" i="1" s="1"/>
  <c r="AN70" i="1" s="1"/>
  <c r="AI74" i="1"/>
  <c r="AH74" i="1"/>
  <c r="V73" i="1"/>
  <c r="W73" i="1" s="1"/>
  <c r="X73" i="1" s="1"/>
  <c r="T73" i="1"/>
  <c r="W77" i="1"/>
  <c r="Z72" i="1"/>
  <c r="AC72" i="1" s="1"/>
  <c r="AM75" i="1" s="1"/>
  <c r="AQ75" i="1" s="1"/>
  <c r="AB72" i="1"/>
  <c r="AG70" i="1" l="1"/>
  <c r="AI70" i="1" s="1"/>
  <c r="AA72" i="1"/>
  <c r="AD72" i="1" s="1"/>
  <c r="AE72" i="1" s="1"/>
  <c r="AN72" i="1" s="1"/>
  <c r="AH70" i="1"/>
  <c r="Y73" i="1"/>
  <c r="AB73" i="1" s="1"/>
  <c r="V75" i="1"/>
  <c r="W75" i="1" s="1"/>
  <c r="T75" i="1"/>
  <c r="X77" i="1"/>
  <c r="AG72" i="1" l="1"/>
  <c r="AH72" i="1" s="1"/>
  <c r="AI72" i="1"/>
  <c r="X75" i="1"/>
  <c r="Y77" i="1"/>
  <c r="Z73" i="1"/>
  <c r="AC73" i="1" s="1"/>
  <c r="AM76" i="1" s="1"/>
  <c r="AQ76" i="1" s="1"/>
  <c r="AA73" i="1" l="1"/>
  <c r="AD73" i="1" s="1"/>
  <c r="AE73" i="1" s="1"/>
  <c r="AN73" i="1" s="1"/>
  <c r="Z77" i="1"/>
  <c r="AC77" i="1" s="1"/>
  <c r="AM80" i="1" s="1"/>
  <c r="AQ80" i="1" s="1"/>
  <c r="AB77" i="1"/>
  <c r="Y75" i="1"/>
  <c r="V76" i="1"/>
  <c r="W76" i="1" s="1"/>
  <c r="X76" i="1" s="1"/>
  <c r="T76" i="1"/>
  <c r="AG73" i="1" l="1"/>
  <c r="AI73" i="1" s="1"/>
  <c r="AA77" i="1"/>
  <c r="AD77" i="1" s="1"/>
  <c r="AE77" i="1" s="1"/>
  <c r="AN77" i="1" s="1"/>
  <c r="Y76" i="1"/>
  <c r="Z75" i="1"/>
  <c r="AC75" i="1" s="1"/>
  <c r="AM78" i="1" s="1"/>
  <c r="AQ78" i="1" s="1"/>
  <c r="AB75" i="1"/>
  <c r="V80" i="1"/>
  <c r="W80" i="1" s="1"/>
  <c r="T80" i="1"/>
  <c r="AB76" i="1"/>
  <c r="AH73" i="1" l="1"/>
  <c r="AG77" i="1"/>
  <c r="AI77" i="1" s="1"/>
  <c r="AA75" i="1"/>
  <c r="AD75" i="1" s="1"/>
  <c r="AE75" i="1" s="1"/>
  <c r="AN75" i="1" s="1"/>
  <c r="X80" i="1"/>
  <c r="V78" i="1"/>
  <c r="W78" i="1" s="1"/>
  <c r="X78" i="1" s="1"/>
  <c r="T78" i="1"/>
  <c r="Z76" i="1"/>
  <c r="AC76" i="1" s="1"/>
  <c r="AM79" i="1" s="1"/>
  <c r="AQ79" i="1" s="1"/>
  <c r="AH77" i="1" l="1"/>
  <c r="AG75" i="1"/>
  <c r="AI75" i="1" s="1"/>
  <c r="AA76" i="1"/>
  <c r="AD76" i="1" s="1"/>
  <c r="AE76" i="1" s="1"/>
  <c r="AN76" i="1" s="1"/>
  <c r="Y78" i="1"/>
  <c r="Y80" i="1"/>
  <c r="V79" i="1"/>
  <c r="W79" i="1" s="1"/>
  <c r="T79" i="1"/>
  <c r="AH75" i="1" l="1"/>
  <c r="AG76" i="1"/>
  <c r="AI76" i="1" s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H76" i="1" l="1"/>
  <c r="AA80" i="1"/>
  <c r="AD80" i="1" s="1"/>
  <c r="AE80" i="1" s="1"/>
  <c r="AN80" i="1" s="1"/>
  <c r="V81" i="1"/>
  <c r="T81" i="1"/>
  <c r="Y79" i="1"/>
  <c r="AA78" i="1"/>
  <c r="AD78" i="1" s="1"/>
  <c r="AE78" i="1" s="1"/>
  <c r="AN78" i="1" s="1"/>
  <c r="V83" i="1"/>
  <c r="W83" i="1" s="1"/>
  <c r="X83" i="1" s="1"/>
  <c r="T83" i="1"/>
  <c r="AG78" i="1" l="1"/>
  <c r="AG80" i="1"/>
  <c r="AI80" i="1" s="1"/>
  <c r="AI78" i="1"/>
  <c r="AH78" i="1"/>
  <c r="Z79" i="1"/>
  <c r="AC79" i="1" s="1"/>
  <c r="AM82" i="1" s="1"/>
  <c r="AQ82" i="1" s="1"/>
  <c r="AB79" i="1"/>
  <c r="Y83" i="1"/>
  <c r="AB83" i="1" s="1"/>
  <c r="W81" i="1"/>
  <c r="AH80" i="1" l="1"/>
  <c r="Z83" i="1"/>
  <c r="AC83" i="1" s="1"/>
  <c r="AM86" i="1" s="1"/>
  <c r="AQ86" i="1" s="1"/>
  <c r="AA79" i="1"/>
  <c r="AD79" i="1" s="1"/>
  <c r="AE79" i="1" s="1"/>
  <c r="AN79" i="1" s="1"/>
  <c r="X81" i="1"/>
  <c r="V82" i="1"/>
  <c r="T82" i="1"/>
  <c r="AG79" i="1" l="1"/>
  <c r="AH79" i="1"/>
  <c r="AI79" i="1"/>
  <c r="V86" i="1"/>
  <c r="T86" i="1"/>
  <c r="W82" i="1"/>
  <c r="X82" i="1" s="1"/>
  <c r="Y81" i="1"/>
  <c r="AA83" i="1"/>
  <c r="AD83" i="1" s="1"/>
  <c r="AE83" i="1" s="1"/>
  <c r="AN83" i="1" s="1"/>
  <c r="AG83" i="1" l="1"/>
  <c r="Y82" i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N81" i="1" s="1"/>
  <c r="X86" i="1"/>
  <c r="V84" i="1"/>
  <c r="T84" i="1"/>
  <c r="Z82" i="1"/>
  <c r="AC82" i="1" s="1"/>
  <c r="AM85" i="1" s="1"/>
  <c r="AQ85" i="1" s="1"/>
  <c r="AB82" i="1"/>
  <c r="AG81" i="1" l="1"/>
  <c r="AI81" i="1" s="1"/>
  <c r="AH81" i="1"/>
  <c r="V85" i="1"/>
  <c r="W85" i="1" s="1"/>
  <c r="T85" i="1"/>
  <c r="Y86" i="1"/>
  <c r="AA82" i="1"/>
  <c r="AD82" i="1" s="1"/>
  <c r="AE82" i="1" s="1"/>
  <c r="AN82" i="1" s="1"/>
  <c r="W84" i="1"/>
  <c r="X84" i="1" s="1"/>
  <c r="AG82" i="1" l="1"/>
  <c r="Y84" i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N86" i="1" s="1"/>
  <c r="V89" i="1"/>
  <c r="W89" i="1" s="1"/>
  <c r="X89" i="1" s="1"/>
  <c r="T89" i="1"/>
  <c r="Y85" i="1"/>
  <c r="Z84" i="1"/>
  <c r="AC84" i="1" s="1"/>
  <c r="AM87" i="1" s="1"/>
  <c r="AQ87" i="1" s="1"/>
  <c r="AB84" i="1"/>
  <c r="AG86" i="1" l="1"/>
  <c r="AI86" i="1" s="1"/>
  <c r="AA84" i="1"/>
  <c r="AD84" i="1" s="1"/>
  <c r="AE84" i="1" s="1"/>
  <c r="AN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G84" i="1" l="1"/>
  <c r="V88" i="1"/>
  <c r="W88" i="1" s="1"/>
  <c r="X88" i="1" s="1"/>
  <c r="T88" i="1"/>
  <c r="X87" i="1"/>
  <c r="AA85" i="1"/>
  <c r="AD85" i="1" s="1"/>
  <c r="AE85" i="1" s="1"/>
  <c r="AN85" i="1" s="1"/>
  <c r="AI84" i="1"/>
  <c r="AH84" i="1"/>
  <c r="Z89" i="1"/>
  <c r="AC89" i="1" s="1"/>
  <c r="AM92" i="1" s="1"/>
  <c r="AQ92" i="1" s="1"/>
  <c r="AG85" i="1" l="1"/>
  <c r="AA89" i="1"/>
  <c r="AD89" i="1" s="1"/>
  <c r="AE89" i="1" s="1"/>
  <c r="AN89" i="1" s="1"/>
  <c r="AH85" i="1"/>
  <c r="AI85" i="1"/>
  <c r="Y87" i="1"/>
  <c r="Y88" i="1"/>
  <c r="V92" i="1"/>
  <c r="T92" i="1"/>
  <c r="AG89" i="1" l="1"/>
  <c r="AI89" i="1" s="1"/>
  <c r="AH89" i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N87" i="1" s="1"/>
  <c r="AA88" i="1"/>
  <c r="AD88" i="1" s="1"/>
  <c r="AE88" i="1" s="1"/>
  <c r="AN88" i="1" s="1"/>
  <c r="V90" i="1"/>
  <c r="T90" i="1"/>
  <c r="V91" i="1"/>
  <c r="T91" i="1"/>
  <c r="X92" i="1"/>
  <c r="AG88" i="1" l="1"/>
  <c r="AI88" i="1" s="1"/>
  <c r="AG87" i="1"/>
  <c r="AH87" i="1" s="1"/>
  <c r="AH88" i="1"/>
  <c r="W90" i="1"/>
  <c r="Y92" i="1"/>
  <c r="W91" i="1"/>
  <c r="AI87" i="1" l="1"/>
  <c r="X91" i="1"/>
  <c r="Z92" i="1"/>
  <c r="AC92" i="1" s="1"/>
  <c r="AM95" i="1" s="1"/>
  <c r="AQ95" i="1" s="1"/>
  <c r="AB92" i="1"/>
  <c r="X90" i="1"/>
  <c r="AA92" i="1" l="1"/>
  <c r="AD92" i="1" s="1"/>
  <c r="AE92" i="1" s="1"/>
  <c r="AN92" i="1" s="1"/>
  <c r="Y90" i="1"/>
  <c r="V95" i="1"/>
  <c r="W95" i="1" s="1"/>
  <c r="X95" i="1" s="1"/>
  <c r="T95" i="1"/>
  <c r="Y91" i="1"/>
  <c r="AG92" i="1" l="1"/>
  <c r="AI92" i="1" s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H92" i="1" l="1"/>
  <c r="AA91" i="1"/>
  <c r="AD91" i="1" s="1"/>
  <c r="AE91" i="1" s="1"/>
  <c r="AN91" i="1" s="1"/>
  <c r="AA90" i="1"/>
  <c r="AD90" i="1" s="1"/>
  <c r="AE90" i="1" s="1"/>
  <c r="AN90" i="1" s="1"/>
  <c r="Z95" i="1"/>
  <c r="AC95" i="1" s="1"/>
  <c r="AM98" i="1" s="1"/>
  <c r="AQ98" i="1" s="1"/>
  <c r="V93" i="1"/>
  <c r="T93" i="1"/>
  <c r="V94" i="1"/>
  <c r="T94" i="1"/>
  <c r="AG90" i="1" l="1"/>
  <c r="AG91" i="1"/>
  <c r="AH91" i="1" s="1"/>
  <c r="AA95" i="1"/>
  <c r="AD95" i="1" s="1"/>
  <c r="AE95" i="1" s="1"/>
  <c r="AN95" i="1" s="1"/>
  <c r="AH90" i="1"/>
  <c r="AI90" i="1"/>
  <c r="W93" i="1"/>
  <c r="W94" i="1"/>
  <c r="V98" i="1"/>
  <c r="T98" i="1"/>
  <c r="AI91" i="1" l="1"/>
  <c r="AG95" i="1"/>
  <c r="X94" i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N93" i="1" s="1"/>
  <c r="AA94" i="1"/>
  <c r="AD94" i="1" s="1"/>
  <c r="AE94" i="1" s="1"/>
  <c r="AN94" i="1" s="1"/>
  <c r="V96" i="1"/>
  <c r="W96" i="1" s="1"/>
  <c r="X96" i="1" s="1"/>
  <c r="T96" i="1"/>
  <c r="Z98" i="1"/>
  <c r="AC98" i="1" s="1"/>
  <c r="AM101" i="1" s="1"/>
  <c r="AQ101" i="1" s="1"/>
  <c r="AB98" i="1"/>
  <c r="V97" i="1"/>
  <c r="W97" i="1" s="1"/>
  <c r="T97" i="1"/>
  <c r="AG94" i="1" l="1"/>
  <c r="AG93" i="1"/>
  <c r="AI94" i="1"/>
  <c r="AH94" i="1"/>
  <c r="X97" i="1"/>
  <c r="Y97" i="1" s="1"/>
  <c r="AB97" i="1" s="1"/>
  <c r="Y96" i="1"/>
  <c r="AB96" i="1" s="1"/>
  <c r="AH93" i="1"/>
  <c r="AI93" i="1"/>
  <c r="AA98" i="1"/>
  <c r="AD98" i="1" s="1"/>
  <c r="AE98" i="1" s="1"/>
  <c r="AN98" i="1" s="1"/>
  <c r="V101" i="1"/>
  <c r="W101" i="1" s="1"/>
  <c r="X101" i="1" s="1"/>
  <c r="T101" i="1"/>
  <c r="AG98" i="1" l="1"/>
  <c r="Y101" i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N96" i="1" s="1"/>
  <c r="AA97" i="1"/>
  <c r="AD97" i="1" s="1"/>
  <c r="AE97" i="1" s="1"/>
  <c r="AN97" i="1" s="1"/>
  <c r="V99" i="1"/>
  <c r="W99" i="1" s="1"/>
  <c r="X99" i="1" s="1"/>
  <c r="T99" i="1"/>
  <c r="V100" i="1"/>
  <c r="T100" i="1"/>
  <c r="Z101" i="1"/>
  <c r="AC101" i="1" s="1"/>
  <c r="AM104" i="1" s="1"/>
  <c r="AQ104" i="1" s="1"/>
  <c r="AG97" i="1" l="1"/>
  <c r="AG96" i="1"/>
  <c r="AA101" i="1"/>
  <c r="AD101" i="1" s="1"/>
  <c r="AE101" i="1" s="1"/>
  <c r="AN101" i="1" s="1"/>
  <c r="Y99" i="1"/>
  <c r="AB99" i="1" s="1"/>
  <c r="V104" i="1"/>
  <c r="W104" i="1" s="1"/>
  <c r="T104" i="1"/>
  <c r="AH96" i="1"/>
  <c r="AI96" i="1"/>
  <c r="W100" i="1"/>
  <c r="X100" i="1" s="1"/>
  <c r="AI97" i="1"/>
  <c r="AH97" i="1"/>
  <c r="AG101" i="1" l="1"/>
  <c r="Y100" i="1"/>
  <c r="AI101" i="1"/>
  <c r="AH101" i="1"/>
  <c r="X104" i="1"/>
  <c r="Z99" i="1"/>
  <c r="AC99" i="1" s="1"/>
  <c r="AM102" i="1" s="1"/>
  <c r="AQ102" i="1" s="1"/>
  <c r="AA99" i="1" l="1"/>
  <c r="AD99" i="1" s="1"/>
  <c r="AE99" i="1" s="1"/>
  <c r="AN99" i="1" s="1"/>
  <c r="V102" i="1"/>
  <c r="W102" i="1" s="1"/>
  <c r="X102" i="1" s="1"/>
  <c r="T102" i="1"/>
  <c r="Y104" i="1"/>
  <c r="Z100" i="1"/>
  <c r="AC100" i="1" s="1"/>
  <c r="AM103" i="1" s="1"/>
  <c r="AQ103" i="1" s="1"/>
  <c r="AB100" i="1"/>
  <c r="AG99" i="1" l="1"/>
  <c r="V103" i="1"/>
  <c r="W103" i="1" s="1"/>
  <c r="X103" i="1" s="1"/>
  <c r="T103" i="1"/>
  <c r="AA100" i="1"/>
  <c r="AD100" i="1" s="1"/>
  <c r="AE100" i="1" s="1"/>
  <c r="AN100" i="1" s="1"/>
  <c r="AH99" i="1"/>
  <c r="AI99" i="1"/>
  <c r="Z104" i="1"/>
  <c r="AC104" i="1" s="1"/>
  <c r="AM107" i="1" s="1"/>
  <c r="AQ107" i="1" s="1"/>
  <c r="AB104" i="1"/>
  <c r="Y102" i="1"/>
  <c r="AB102" i="1" s="1"/>
  <c r="AG100" i="1" l="1"/>
  <c r="AI100" i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Y103" i="1"/>
  <c r="AB103" i="1" s="1"/>
  <c r="AE104" i="1"/>
  <c r="AN104" i="1" s="1"/>
  <c r="AG104" i="1" l="1"/>
  <c r="AA102" i="1"/>
  <c r="AD102" i="1" s="1"/>
  <c r="AE102" i="1" s="1"/>
  <c r="AN102" i="1" s="1"/>
  <c r="Y107" i="1"/>
  <c r="AB107" i="1" s="1"/>
  <c r="V105" i="1"/>
  <c r="W105" i="1" s="1"/>
  <c r="T105" i="1"/>
  <c r="AH104" i="1"/>
  <c r="AI104" i="1"/>
  <c r="Z103" i="1"/>
  <c r="AC103" i="1" s="1"/>
  <c r="AM106" i="1" s="1"/>
  <c r="AQ106" i="1" s="1"/>
  <c r="AG102" i="1" l="1"/>
  <c r="X105" i="1"/>
  <c r="Y105" i="1" s="1"/>
  <c r="AB105" i="1" s="1"/>
  <c r="AA103" i="1"/>
  <c r="AD103" i="1" s="1"/>
  <c r="AE103" i="1" s="1"/>
  <c r="AN103" i="1" s="1"/>
  <c r="V106" i="1"/>
  <c r="T106" i="1"/>
  <c r="AI102" i="1"/>
  <c r="AH102" i="1"/>
  <c r="Z107" i="1"/>
  <c r="AC107" i="1" s="1"/>
  <c r="AM110" i="1" s="1"/>
  <c r="AQ110" i="1" s="1"/>
  <c r="AG103" i="1" l="1"/>
  <c r="AH103" i="1"/>
  <c r="AI103" i="1"/>
  <c r="AA107" i="1"/>
  <c r="AD107" i="1" s="1"/>
  <c r="AE107" i="1" s="1"/>
  <c r="AN107" i="1" s="1"/>
  <c r="W106" i="1"/>
  <c r="X106" i="1" s="1"/>
  <c r="V110" i="1"/>
  <c r="W110" i="1" s="1"/>
  <c r="X110" i="1" s="1"/>
  <c r="T110" i="1"/>
  <c r="Z105" i="1"/>
  <c r="AC105" i="1" s="1"/>
  <c r="AM108" i="1" s="1"/>
  <c r="AQ108" i="1" s="1"/>
  <c r="AG107" i="1" l="1"/>
  <c r="AH107" i="1" s="1"/>
  <c r="AA105" i="1"/>
  <c r="AD105" i="1" s="1"/>
  <c r="AE105" i="1" s="1"/>
  <c r="AN105" i="1" s="1"/>
  <c r="AI107" i="1"/>
  <c r="Y106" i="1"/>
  <c r="Y110" i="1"/>
  <c r="AB110" i="1" s="1"/>
  <c r="V108" i="1"/>
  <c r="T108" i="1"/>
  <c r="AG105" i="1" l="1"/>
  <c r="AH105" i="1" s="1"/>
  <c r="AI105" i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N106" i="1" s="1"/>
  <c r="AA110" i="1"/>
  <c r="AD110" i="1" s="1"/>
  <c r="AE110" i="1" s="1"/>
  <c r="AN110" i="1" s="1"/>
  <c r="V109" i="1"/>
  <c r="W109" i="1" s="1"/>
  <c r="T109" i="1"/>
  <c r="V113" i="1"/>
  <c r="T113" i="1"/>
  <c r="X108" i="1"/>
  <c r="AG110" i="1" l="1"/>
  <c r="AG106" i="1"/>
  <c r="AI106" i="1" s="1"/>
  <c r="W113" i="1"/>
  <c r="AI110" i="1"/>
  <c r="AH110" i="1"/>
  <c r="Y108" i="1"/>
  <c r="X109" i="1"/>
  <c r="AH106" i="1" l="1"/>
  <c r="Z108" i="1"/>
  <c r="AC108" i="1" s="1"/>
  <c r="AM111" i="1" s="1"/>
  <c r="AQ111" i="1" s="1"/>
  <c r="AB108" i="1"/>
  <c r="Y109" i="1"/>
  <c r="X113" i="1"/>
  <c r="AA108" i="1" l="1"/>
  <c r="AD108" i="1" s="1"/>
  <c r="AE108" i="1" s="1"/>
  <c r="AN108" i="1" s="1"/>
  <c r="Y113" i="1"/>
  <c r="Z109" i="1"/>
  <c r="AC109" i="1" s="1"/>
  <c r="AM112" i="1" s="1"/>
  <c r="AQ112" i="1" s="1"/>
  <c r="AB109" i="1"/>
  <c r="V111" i="1"/>
  <c r="W111" i="1" s="1"/>
  <c r="T111" i="1"/>
  <c r="AG108" i="1" l="1"/>
  <c r="AH108" i="1" s="1"/>
  <c r="X111" i="1"/>
  <c r="Y111" i="1" s="1"/>
  <c r="AA109" i="1"/>
  <c r="AD109" i="1" s="1"/>
  <c r="AE109" i="1" s="1"/>
  <c r="AN109" i="1" s="1"/>
  <c r="AI108" i="1"/>
  <c r="V112" i="1"/>
  <c r="W112" i="1" s="1"/>
  <c r="X112" i="1" s="1"/>
  <c r="T112" i="1"/>
  <c r="Z113" i="1"/>
  <c r="AC113" i="1" s="1"/>
  <c r="AM116" i="1" s="1"/>
  <c r="AQ116" i="1" s="1"/>
  <c r="AB113" i="1"/>
  <c r="AG109" i="1" l="1"/>
  <c r="AH109" i="1" s="1"/>
  <c r="AI109" i="1"/>
  <c r="AA113" i="1"/>
  <c r="AD113" i="1" s="1"/>
  <c r="AE113" i="1" s="1"/>
  <c r="AN113" i="1" s="1"/>
  <c r="Z111" i="1"/>
  <c r="AC111" i="1" s="1"/>
  <c r="AM114" i="1" s="1"/>
  <c r="AQ114" i="1" s="1"/>
  <c r="Y112" i="1"/>
  <c r="V116" i="1"/>
  <c r="W116" i="1" s="1"/>
  <c r="T116" i="1"/>
  <c r="AB111" i="1"/>
  <c r="AG113" i="1" l="1"/>
  <c r="AI113" i="1" s="1"/>
  <c r="AH113" i="1"/>
  <c r="X116" i="1"/>
  <c r="Y116" i="1" s="1"/>
  <c r="AB116" i="1" s="1"/>
  <c r="AA111" i="1"/>
  <c r="AD111" i="1" s="1"/>
  <c r="AE111" i="1" s="1"/>
  <c r="AN111" i="1" s="1"/>
  <c r="Z112" i="1"/>
  <c r="AC112" i="1" s="1"/>
  <c r="AM115" i="1" s="1"/>
  <c r="AQ115" i="1" s="1"/>
  <c r="AB112" i="1"/>
  <c r="V114" i="1"/>
  <c r="W114" i="1" s="1"/>
  <c r="X114" i="1" s="1"/>
  <c r="T114" i="1"/>
  <c r="AG111" i="1" l="1"/>
  <c r="AA112" i="1"/>
  <c r="AD112" i="1" s="1"/>
  <c r="AE112" i="1" s="1"/>
  <c r="AN112" i="1" s="1"/>
  <c r="AI111" i="1"/>
  <c r="AH111" i="1"/>
  <c r="Y114" i="1"/>
  <c r="AB114" i="1" s="1"/>
  <c r="V115" i="1"/>
  <c r="W115" i="1" s="1"/>
  <c r="X115" i="1" s="1"/>
  <c r="T115" i="1"/>
  <c r="Z116" i="1"/>
  <c r="AC116" i="1" s="1"/>
  <c r="AM119" i="1" s="1"/>
  <c r="AQ119" i="1" s="1"/>
  <c r="AG112" i="1" l="1"/>
  <c r="AI112" i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E116" i="1"/>
  <c r="AN116" i="1" s="1"/>
  <c r="AG116" i="1" l="1"/>
  <c r="AA114" i="1"/>
  <c r="AD114" i="1" s="1"/>
  <c r="AE114" i="1" s="1"/>
  <c r="AN114" i="1" s="1"/>
  <c r="Y119" i="1"/>
  <c r="AB119" i="1" s="1"/>
  <c r="V117" i="1"/>
  <c r="T117" i="1"/>
  <c r="AH116" i="1"/>
  <c r="AI116" i="1"/>
  <c r="Z115" i="1"/>
  <c r="AC115" i="1" s="1"/>
  <c r="AM118" i="1" s="1"/>
  <c r="AQ118" i="1" s="1"/>
  <c r="AG114" i="1" l="1"/>
  <c r="AA115" i="1"/>
  <c r="AD115" i="1" s="1"/>
  <c r="AE115" i="1" s="1"/>
  <c r="AN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G115" i="1" l="1"/>
  <c r="AH115" i="1" s="1"/>
  <c r="AA119" i="1"/>
  <c r="AD119" i="1" s="1"/>
  <c r="AE119" i="1" s="1"/>
  <c r="AN119" i="1" s="1"/>
  <c r="Y117" i="1"/>
  <c r="V122" i="1"/>
  <c r="T122" i="1"/>
  <c r="X118" i="1"/>
  <c r="AI115" i="1" l="1"/>
  <c r="AG119" i="1"/>
  <c r="AI119" i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N117" i="1" s="1"/>
  <c r="Z118" i="1"/>
  <c r="AC118" i="1" s="1"/>
  <c r="AM121" i="1" s="1"/>
  <c r="AQ121" i="1" s="1"/>
  <c r="AB118" i="1"/>
  <c r="T120" i="1"/>
  <c r="V120" i="1"/>
  <c r="X122" i="1"/>
  <c r="AG117" i="1" l="1"/>
  <c r="AH117" i="1" s="1"/>
  <c r="AA118" i="1"/>
  <c r="AD118" i="1" s="1"/>
  <c r="AE118" i="1" s="1"/>
  <c r="AN118" i="1" s="1"/>
  <c r="W120" i="1"/>
  <c r="V121" i="1"/>
  <c r="W121" i="1" s="1"/>
  <c r="T121" i="1"/>
  <c r="Y122" i="1"/>
  <c r="AI117" i="1" l="1"/>
  <c r="AG118" i="1"/>
  <c r="AH118" i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N122" i="1" s="1"/>
  <c r="Y121" i="1"/>
  <c r="Y120" i="1"/>
  <c r="V125" i="1"/>
  <c r="W125" i="1" s="1"/>
  <c r="X125" i="1" s="1"/>
  <c r="T125" i="1"/>
  <c r="AG122" i="1" l="1"/>
  <c r="Y125" i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N121" i="1" s="1"/>
  <c r="V123" i="1"/>
  <c r="W123" i="1" s="1"/>
  <c r="T123" i="1"/>
  <c r="V124" i="1"/>
  <c r="W124" i="1" s="1"/>
  <c r="X124" i="1" s="1"/>
  <c r="T124" i="1"/>
  <c r="AA120" i="1"/>
  <c r="AD120" i="1" s="1"/>
  <c r="AE120" i="1" s="1"/>
  <c r="AN120" i="1" s="1"/>
  <c r="Z125" i="1"/>
  <c r="AC125" i="1" s="1"/>
  <c r="AM128" i="1" s="1"/>
  <c r="AQ128" i="1" s="1"/>
  <c r="AG120" i="1" l="1"/>
  <c r="AG121" i="1"/>
  <c r="AH121" i="1" s="1"/>
  <c r="AI120" i="1"/>
  <c r="AH120" i="1"/>
  <c r="V128" i="1"/>
  <c r="T128" i="1"/>
  <c r="Y124" i="1"/>
  <c r="X123" i="1"/>
  <c r="AA125" i="1"/>
  <c r="AD125" i="1" s="1"/>
  <c r="AE125" i="1" s="1"/>
  <c r="AN125" i="1" s="1"/>
  <c r="AI121" i="1" l="1"/>
  <c r="AG125" i="1"/>
  <c r="W128" i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A124" i="1"/>
  <c r="AD124" i="1" s="1"/>
  <c r="AE124" i="1" s="1"/>
  <c r="AN124" i="1" s="1"/>
  <c r="Z128" i="1"/>
  <c r="AC128" i="1" s="1"/>
  <c r="AM131" i="1" s="1"/>
  <c r="AQ131" i="1" s="1"/>
  <c r="AG124" i="1" l="1"/>
  <c r="AA123" i="1"/>
  <c r="AD123" i="1" s="1"/>
  <c r="AE123" i="1" s="1"/>
  <c r="AN123" i="1" s="1"/>
  <c r="AA128" i="1"/>
  <c r="AD128" i="1" s="1"/>
  <c r="AE128" i="1" s="1"/>
  <c r="AN128" i="1" s="1"/>
  <c r="AI124" i="1"/>
  <c r="AH124" i="1"/>
  <c r="X127" i="1"/>
  <c r="V131" i="1"/>
  <c r="W131" i="1" s="1"/>
  <c r="T131" i="1"/>
  <c r="V126" i="1"/>
  <c r="W126" i="1" s="1"/>
  <c r="T126" i="1"/>
  <c r="AG128" i="1" l="1"/>
  <c r="AH128" i="1" s="1"/>
  <c r="AG123" i="1"/>
  <c r="AI128" i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N126" i="1" s="1"/>
  <c r="AA127" i="1"/>
  <c r="AD127" i="1" s="1"/>
  <c r="AE127" i="1" s="1"/>
  <c r="AN127" i="1" s="1"/>
  <c r="AA131" i="1"/>
  <c r="AD131" i="1" s="1"/>
  <c r="AE131" i="1" s="1"/>
  <c r="AN131" i="1" s="1"/>
  <c r="V134" i="1"/>
  <c r="W134" i="1" s="1"/>
  <c r="X134" i="1" s="1"/>
  <c r="T134" i="1"/>
  <c r="V130" i="1"/>
  <c r="W130" i="1" s="1"/>
  <c r="T130" i="1"/>
  <c r="V129" i="1"/>
  <c r="T129" i="1"/>
  <c r="AG127" i="1" l="1"/>
  <c r="AG131" i="1"/>
  <c r="AG126" i="1"/>
  <c r="AH126" i="1" s="1"/>
  <c r="AI127" i="1"/>
  <c r="AH127" i="1"/>
  <c r="AH131" i="1"/>
  <c r="AI131" i="1"/>
  <c r="W129" i="1"/>
  <c r="X129" i="1" s="1"/>
  <c r="Y134" i="1"/>
  <c r="X130" i="1"/>
  <c r="AI126" i="1" l="1"/>
  <c r="Y129" i="1"/>
  <c r="Y130" i="1"/>
  <c r="Z134" i="1"/>
  <c r="AC134" i="1" s="1"/>
  <c r="AM137" i="1" s="1"/>
  <c r="AQ137" i="1" s="1"/>
  <c r="AB134" i="1"/>
  <c r="AA134" i="1" l="1"/>
  <c r="AD134" i="1" s="1"/>
  <c r="AE134" i="1" s="1"/>
  <c r="AN134" i="1" s="1"/>
  <c r="V137" i="1"/>
  <c r="T137" i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G134" i="1" l="1"/>
  <c r="AH134" i="1" s="1"/>
  <c r="AA130" i="1"/>
  <c r="AD130" i="1" s="1"/>
  <c r="AE130" i="1" s="1"/>
  <c r="AN130" i="1" s="1"/>
  <c r="AI134" i="1"/>
  <c r="V133" i="1"/>
  <c r="W133" i="1" s="1"/>
  <c r="X133" i="1" s="1"/>
  <c r="T133" i="1"/>
  <c r="V132" i="1"/>
  <c r="W132" i="1" s="1"/>
  <c r="X132" i="1" s="1"/>
  <c r="T132" i="1"/>
  <c r="W137" i="1"/>
  <c r="X137" i="1" s="1"/>
  <c r="AA129" i="1"/>
  <c r="AD129" i="1" s="1"/>
  <c r="AE129" i="1" s="1"/>
  <c r="AN129" i="1" s="1"/>
  <c r="AG130" i="1" l="1"/>
  <c r="AG129" i="1"/>
  <c r="AI130" i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N133" i="1" s="1"/>
  <c r="V135" i="1"/>
  <c r="W135" i="1" s="1"/>
  <c r="T135" i="1"/>
  <c r="AA132" i="1"/>
  <c r="AD132" i="1" s="1"/>
  <c r="AE132" i="1" s="1"/>
  <c r="AN132" i="1" s="1"/>
  <c r="AA137" i="1"/>
  <c r="AD137" i="1" s="1"/>
  <c r="AE137" i="1" s="1"/>
  <c r="AN137" i="1" s="1"/>
  <c r="V140" i="1"/>
  <c r="T140" i="1"/>
  <c r="V136" i="1"/>
  <c r="T136" i="1"/>
  <c r="AG137" i="1" l="1"/>
  <c r="AG132" i="1"/>
  <c r="AG133" i="1"/>
  <c r="AI133" i="1" s="1"/>
  <c r="AH137" i="1"/>
  <c r="AI137" i="1"/>
  <c r="AI132" i="1"/>
  <c r="AH132" i="1"/>
  <c r="W136" i="1"/>
  <c r="X135" i="1"/>
  <c r="W140" i="1"/>
  <c r="AH133" i="1" l="1"/>
  <c r="Y135" i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N135" i="1" s="1"/>
  <c r="V138" i="1"/>
  <c r="W138" i="1" s="1"/>
  <c r="T138" i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G135" i="1" l="1"/>
  <c r="AI135" i="1" s="1"/>
  <c r="AH135" i="1"/>
  <c r="AA140" i="1"/>
  <c r="AD140" i="1" s="1"/>
  <c r="AE140" i="1" s="1"/>
  <c r="AN140" i="1" s="1"/>
  <c r="V139" i="1"/>
  <c r="W139" i="1" s="1"/>
  <c r="X139" i="1" s="1"/>
  <c r="T139" i="1"/>
  <c r="V143" i="1"/>
  <c r="W143" i="1" s="1"/>
  <c r="X143" i="1" s="1"/>
  <c r="T143" i="1"/>
  <c r="X138" i="1"/>
  <c r="AA136" i="1"/>
  <c r="AD136" i="1" s="1"/>
  <c r="AE136" i="1" s="1"/>
  <c r="AN136" i="1" s="1"/>
  <c r="AG136" i="1" l="1"/>
  <c r="AG140" i="1"/>
  <c r="AH140" i="1" s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E139" i="1" s="1"/>
  <c r="AN139" i="1" s="1"/>
  <c r="AA138" i="1"/>
  <c r="AD138" i="1" s="1"/>
  <c r="AE138" i="1" s="1"/>
  <c r="AN138" i="1" s="1"/>
  <c r="AA143" i="1"/>
  <c r="AD143" i="1" s="1"/>
  <c r="V142" i="1"/>
  <c r="T142" i="1"/>
  <c r="V146" i="1"/>
  <c r="W146" i="1" s="1"/>
  <c r="X146" i="1" s="1"/>
  <c r="T146" i="1"/>
  <c r="AE143" i="1"/>
  <c r="AN143" i="1" s="1"/>
  <c r="V141" i="1"/>
  <c r="W141" i="1" s="1"/>
  <c r="X141" i="1" s="1"/>
  <c r="T141" i="1"/>
  <c r="AG139" i="1" l="1"/>
  <c r="AG143" i="1"/>
  <c r="AG138" i="1"/>
  <c r="AH138" i="1" s="1"/>
  <c r="W142" i="1"/>
  <c r="X142" i="1" s="1"/>
  <c r="Y142" i="1" s="1"/>
  <c r="AB142" i="1" s="1"/>
  <c r="Y141" i="1"/>
  <c r="AI143" i="1"/>
  <c r="AH143" i="1"/>
  <c r="AH139" i="1"/>
  <c r="AI139" i="1"/>
  <c r="Y146" i="1"/>
  <c r="AI138" i="1" l="1"/>
  <c r="Z146" i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N146" i="1" s="1"/>
  <c r="AA141" i="1"/>
  <c r="AD141" i="1" s="1"/>
  <c r="AE141" i="1" s="1"/>
  <c r="AN141" i="1" s="1"/>
  <c r="AA142" i="1"/>
  <c r="AD142" i="1" s="1"/>
  <c r="AE142" i="1" s="1"/>
  <c r="AN142" i="1" s="1"/>
  <c r="V145" i="1"/>
  <c r="W145" i="1" s="1"/>
  <c r="T145" i="1"/>
  <c r="V144" i="1"/>
  <c r="T144" i="1"/>
  <c r="V149" i="1"/>
  <c r="W149" i="1" s="1"/>
  <c r="T149" i="1"/>
  <c r="AG141" i="1" l="1"/>
  <c r="AG142" i="1"/>
  <c r="AH142" i="1" s="1"/>
  <c r="AG146" i="1"/>
  <c r="AI146" i="1" s="1"/>
  <c r="AH141" i="1"/>
  <c r="AI141" i="1"/>
  <c r="X149" i="1"/>
  <c r="AI142" i="1"/>
  <c r="X145" i="1"/>
  <c r="W144" i="1"/>
  <c r="AH146" i="1" l="1"/>
  <c r="Y145" i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N149" i="1" s="1"/>
  <c r="V148" i="1"/>
  <c r="W148" i="1" s="1"/>
  <c r="X148" i="1" s="1"/>
  <c r="T148" i="1"/>
  <c r="AA145" i="1"/>
  <c r="AD145" i="1" s="1"/>
  <c r="AE145" i="1" s="1"/>
  <c r="AN145" i="1" s="1"/>
  <c r="Z144" i="1"/>
  <c r="AC144" i="1" s="1"/>
  <c r="AM147" i="1" s="1"/>
  <c r="AQ147" i="1" s="1"/>
  <c r="AB144" i="1"/>
  <c r="V152" i="1"/>
  <c r="W152" i="1" s="1"/>
  <c r="T152" i="1"/>
  <c r="AG145" i="1" l="1"/>
  <c r="AG149" i="1"/>
  <c r="AA144" i="1"/>
  <c r="AD144" i="1" s="1"/>
  <c r="AH145" i="1"/>
  <c r="AI145" i="1"/>
  <c r="V147" i="1"/>
  <c r="W147" i="1" s="1"/>
  <c r="X147" i="1" s="1"/>
  <c r="T147" i="1"/>
  <c r="AI149" i="1"/>
  <c r="AH149" i="1"/>
  <c r="AE144" i="1"/>
  <c r="AN144" i="1" s="1"/>
  <c r="Y148" i="1"/>
  <c r="AB148" i="1" s="1"/>
  <c r="X152" i="1"/>
  <c r="AG144" i="1" l="1"/>
  <c r="AI144" i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W151" i="1"/>
  <c r="Z147" i="1"/>
  <c r="AC147" i="1" s="1"/>
  <c r="AM150" i="1" s="1"/>
  <c r="AQ150" i="1" s="1"/>
  <c r="AE148" i="1"/>
  <c r="AN148" i="1" s="1"/>
  <c r="Z152" i="1"/>
  <c r="AC152" i="1" s="1"/>
  <c r="AM155" i="1" s="1"/>
  <c r="AQ155" i="1" s="1"/>
  <c r="AB152" i="1"/>
  <c r="AG148" i="1" l="1"/>
  <c r="AI148" i="1" s="1"/>
  <c r="AA147" i="1"/>
  <c r="AD147" i="1" s="1"/>
  <c r="AA152" i="1"/>
  <c r="AD152" i="1" s="1"/>
  <c r="AE152" i="1" s="1"/>
  <c r="AN152" i="1" s="1"/>
  <c r="V155" i="1"/>
  <c r="W155" i="1" s="1"/>
  <c r="T155" i="1"/>
  <c r="V150" i="1"/>
  <c r="W150" i="1" s="1"/>
  <c r="T150" i="1"/>
  <c r="X151" i="1"/>
  <c r="AH148" i="1"/>
  <c r="AE147" i="1"/>
  <c r="AN147" i="1" s="1"/>
  <c r="AG147" i="1" l="1"/>
  <c r="AG152" i="1"/>
  <c r="X155" i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N155" i="1" s="1"/>
  <c r="AA151" i="1"/>
  <c r="AD151" i="1" s="1"/>
  <c r="AE151" i="1" s="1"/>
  <c r="AN151" i="1" s="1"/>
  <c r="V154" i="1"/>
  <c r="W154" i="1" s="1"/>
  <c r="X154" i="1" s="1"/>
  <c r="T154" i="1"/>
  <c r="Z150" i="1"/>
  <c r="AC150" i="1" s="1"/>
  <c r="AM153" i="1" s="1"/>
  <c r="AQ153" i="1" s="1"/>
  <c r="AB150" i="1"/>
  <c r="V158" i="1"/>
  <c r="T158" i="1"/>
  <c r="AG151" i="1" l="1"/>
  <c r="AG155" i="1"/>
  <c r="AI155" i="1" s="1"/>
  <c r="AI151" i="1"/>
  <c r="AH151" i="1"/>
  <c r="AA150" i="1"/>
  <c r="AD150" i="1" s="1"/>
  <c r="AE150" i="1" s="1"/>
  <c r="AN150" i="1" s="1"/>
  <c r="V153" i="1"/>
  <c r="T153" i="1"/>
  <c r="Y154" i="1"/>
  <c r="W158" i="1"/>
  <c r="AH155" i="1" l="1"/>
  <c r="AG150" i="1"/>
  <c r="Z154" i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N154" i="1" s="1"/>
  <c r="Y158" i="1"/>
  <c r="V157" i="1"/>
  <c r="W157" i="1" s="1"/>
  <c r="T157" i="1"/>
  <c r="X153" i="1"/>
  <c r="AG154" i="1" l="1"/>
  <c r="AI154" i="1" s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N158" i="1" s="1"/>
  <c r="Y157" i="1"/>
  <c r="Z153" i="1"/>
  <c r="AC153" i="1" s="1"/>
  <c r="AM156" i="1" s="1"/>
  <c r="AQ156" i="1" s="1"/>
  <c r="AB153" i="1"/>
  <c r="V161" i="1"/>
  <c r="W161" i="1" s="1"/>
  <c r="T161" i="1"/>
  <c r="AG158" i="1" l="1"/>
  <c r="AI158" i="1" s="1"/>
  <c r="X161" i="1"/>
  <c r="Y161" i="1" s="1"/>
  <c r="AB161" i="1" s="1"/>
  <c r="AA153" i="1"/>
  <c r="AD153" i="1" s="1"/>
  <c r="AE153" i="1" s="1"/>
  <c r="AN153" i="1" s="1"/>
  <c r="V156" i="1"/>
  <c r="T156" i="1"/>
  <c r="Z157" i="1"/>
  <c r="AC157" i="1" s="1"/>
  <c r="AM160" i="1" s="1"/>
  <c r="AQ160" i="1" s="1"/>
  <c r="AB157" i="1"/>
  <c r="AH158" i="1" l="1"/>
  <c r="AG153" i="1"/>
  <c r="AI153" i="1" s="1"/>
  <c r="AA157" i="1"/>
  <c r="AD157" i="1" s="1"/>
  <c r="AE157" i="1"/>
  <c r="AN157" i="1" s="1"/>
  <c r="W156" i="1"/>
  <c r="X156" i="1" s="1"/>
  <c r="Z161" i="1"/>
  <c r="AC161" i="1" s="1"/>
  <c r="AM164" i="1" s="1"/>
  <c r="AQ164" i="1" s="1"/>
  <c r="V160" i="1"/>
  <c r="W160" i="1" s="1"/>
  <c r="T160" i="1"/>
  <c r="AH153" i="1" l="1"/>
  <c r="AG157" i="1"/>
  <c r="AH157" i="1" s="1"/>
  <c r="Y156" i="1"/>
  <c r="T164" i="1"/>
  <c r="V164" i="1"/>
  <c r="W164" i="1" s="1"/>
  <c r="AA161" i="1"/>
  <c r="AD161" i="1" s="1"/>
  <c r="AE161" i="1" s="1"/>
  <c r="AN161" i="1" s="1"/>
  <c r="X160" i="1"/>
  <c r="AI157" i="1" l="1"/>
  <c r="AG161" i="1"/>
  <c r="AH161" i="1" s="1"/>
  <c r="X164" i="1"/>
  <c r="Z156" i="1"/>
  <c r="AC156" i="1" s="1"/>
  <c r="AM159" i="1" s="1"/>
  <c r="AQ159" i="1" s="1"/>
  <c r="AB156" i="1"/>
  <c r="Y160" i="1"/>
  <c r="AI161" i="1" l="1"/>
  <c r="AA156" i="1"/>
  <c r="AD156" i="1" s="1"/>
  <c r="AE156" i="1" s="1"/>
  <c r="AN156" i="1" s="1"/>
  <c r="V159" i="1"/>
  <c r="W159" i="1" s="1"/>
  <c r="T159" i="1"/>
  <c r="Z160" i="1"/>
  <c r="AC160" i="1" s="1"/>
  <c r="AM163" i="1" s="1"/>
  <c r="AQ163" i="1" s="1"/>
  <c r="AB160" i="1"/>
  <c r="Y164" i="1"/>
  <c r="AG156" i="1" l="1"/>
  <c r="AI156" i="1" s="1"/>
  <c r="AA160" i="1"/>
  <c r="AD160" i="1" s="1"/>
  <c r="AE160" i="1" s="1"/>
  <c r="AN160" i="1" s="1"/>
  <c r="AH156" i="1"/>
  <c r="V163" i="1"/>
  <c r="W163" i="1" s="1"/>
  <c r="X163" i="1" s="1"/>
  <c r="T163" i="1"/>
  <c r="Z164" i="1"/>
  <c r="AC164" i="1" s="1"/>
  <c r="AM167" i="1" s="1"/>
  <c r="AQ167" i="1" s="1"/>
  <c r="AB164" i="1"/>
  <c r="X159" i="1"/>
  <c r="AG160" i="1" l="1"/>
  <c r="AH160" i="1" s="1"/>
  <c r="V167" i="1"/>
  <c r="W167" i="1" s="1"/>
  <c r="X167" i="1" s="1"/>
  <c r="T167" i="1"/>
  <c r="AA164" i="1"/>
  <c r="AD164" i="1" s="1"/>
  <c r="AE164" i="1" s="1"/>
  <c r="AN164" i="1" s="1"/>
  <c r="Y163" i="1"/>
  <c r="Y159" i="1"/>
  <c r="AI160" i="1" l="1"/>
  <c r="AG164" i="1"/>
  <c r="AI164" i="1" s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N159" i="1" s="1"/>
  <c r="AA163" i="1"/>
  <c r="AD163" i="1" s="1"/>
  <c r="AE163" i="1" s="1"/>
  <c r="AN163" i="1" s="1"/>
  <c r="Z167" i="1"/>
  <c r="AC167" i="1" s="1"/>
  <c r="AM170" i="1" s="1"/>
  <c r="AQ170" i="1" s="1"/>
  <c r="V166" i="1"/>
  <c r="T166" i="1"/>
  <c r="V162" i="1"/>
  <c r="W162" i="1" s="1"/>
  <c r="X162" i="1" s="1"/>
  <c r="T162" i="1"/>
  <c r="AG163" i="1" l="1"/>
  <c r="AG159" i="1"/>
  <c r="AI159" i="1" s="1"/>
  <c r="AI163" i="1"/>
  <c r="AH163" i="1"/>
  <c r="AH159" i="1"/>
  <c r="AA167" i="1"/>
  <c r="AD167" i="1" s="1"/>
  <c r="AE167" i="1" s="1"/>
  <c r="AN167" i="1" s="1"/>
  <c r="W166" i="1"/>
  <c r="V170" i="1"/>
  <c r="T170" i="1"/>
  <c r="Y162" i="1"/>
  <c r="AB162" i="1" s="1"/>
  <c r="AG167" i="1" l="1"/>
  <c r="W170" i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N162" i="1" s="1"/>
  <c r="Y170" i="1"/>
  <c r="V165" i="1"/>
  <c r="T165" i="1"/>
  <c r="Y166" i="1"/>
  <c r="AG162" i="1" l="1"/>
  <c r="Z166" i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N166" i="1" s="1"/>
  <c r="AA170" i="1"/>
  <c r="AD170" i="1" s="1"/>
  <c r="AE170" i="1" s="1"/>
  <c r="AN170" i="1" s="1"/>
  <c r="T173" i="1"/>
  <c r="V173" i="1"/>
  <c r="X165" i="1"/>
  <c r="V169" i="1"/>
  <c r="W169" i="1" s="1"/>
  <c r="T169" i="1"/>
  <c r="AG170" i="1" l="1"/>
  <c r="AG166" i="1"/>
  <c r="AI166" i="1" s="1"/>
  <c r="AH170" i="1"/>
  <c r="AI170" i="1"/>
  <c r="X169" i="1"/>
  <c r="Y169" i="1" s="1"/>
  <c r="AB169" i="1" s="1"/>
  <c r="Y165" i="1"/>
  <c r="W173" i="1"/>
  <c r="AH166" i="1" l="1"/>
  <c r="Z169" i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N169" i="1" s="1"/>
  <c r="AA165" i="1"/>
  <c r="AD165" i="1" s="1"/>
  <c r="AE165" i="1" s="1"/>
  <c r="AN165" i="1" s="1"/>
  <c r="V168" i="1"/>
  <c r="W168" i="1" s="1"/>
  <c r="T168" i="1"/>
  <c r="Y173" i="1"/>
  <c r="T172" i="1"/>
  <c r="V172" i="1"/>
  <c r="W172" i="1" s="1"/>
  <c r="AG165" i="1" l="1"/>
  <c r="AG169" i="1"/>
  <c r="AH165" i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Y168" i="1"/>
  <c r="AA173" i="1"/>
  <c r="AD173" i="1" s="1"/>
  <c r="AE173" i="1" s="1"/>
  <c r="AN173" i="1" s="1"/>
  <c r="Y172" i="1"/>
  <c r="AG173" i="1" l="1"/>
  <c r="AI173" i="1" s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H173" i="1" l="1"/>
  <c r="AA172" i="1"/>
  <c r="AD172" i="1" s="1"/>
  <c r="AE172" i="1" s="1"/>
  <c r="AN172" i="1" s="1"/>
  <c r="V171" i="1"/>
  <c r="W171" i="1" s="1"/>
  <c r="T171" i="1"/>
  <c r="Z176" i="1"/>
  <c r="AC176" i="1" s="1"/>
  <c r="AM179" i="1" s="1"/>
  <c r="AQ179" i="1" s="1"/>
  <c r="AA168" i="1"/>
  <c r="AD168" i="1" s="1"/>
  <c r="AE168" i="1" s="1"/>
  <c r="AN168" i="1" s="1"/>
  <c r="V175" i="1"/>
  <c r="T175" i="1"/>
  <c r="AG168" i="1" l="1"/>
  <c r="AG172" i="1"/>
  <c r="AH172" i="1" s="1"/>
  <c r="AA176" i="1"/>
  <c r="AD176" i="1" s="1"/>
  <c r="AE176" i="1" s="1"/>
  <c r="AN176" i="1" s="1"/>
  <c r="W175" i="1"/>
  <c r="X175" i="1" s="1"/>
  <c r="Y175" i="1" s="1"/>
  <c r="AH168" i="1"/>
  <c r="AI168" i="1"/>
  <c r="V179" i="1"/>
  <c r="W179" i="1" s="1"/>
  <c r="T179" i="1"/>
  <c r="X171" i="1"/>
  <c r="AI172" i="1" l="1"/>
  <c r="AG176" i="1"/>
  <c r="X179" i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V178" i="1"/>
  <c r="AA175" i="1"/>
  <c r="AD175" i="1" s="1"/>
  <c r="AE175" i="1" s="1"/>
  <c r="AN175" i="1" s="1"/>
  <c r="Y179" i="1"/>
  <c r="AG175" i="1" l="1"/>
  <c r="AA171" i="1"/>
  <c r="AD171" i="1" s="1"/>
  <c r="AE171" i="1" s="1"/>
  <c r="AN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G171" i="1" l="1"/>
  <c r="AH171" i="1"/>
  <c r="AI171" i="1"/>
  <c r="AA179" i="1"/>
  <c r="AD179" i="1" s="1"/>
  <c r="AE179" i="1" s="1"/>
  <c r="AN179" i="1" s="1"/>
  <c r="W174" i="1"/>
  <c r="Y178" i="1"/>
  <c r="V182" i="1"/>
  <c r="W182" i="1" s="1"/>
  <c r="X182" i="1" s="1"/>
  <c r="T182" i="1"/>
  <c r="AG179" i="1" l="1"/>
  <c r="Y182" i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N178" i="1" s="1"/>
  <c r="V181" i="1"/>
  <c r="W181" i="1" s="1"/>
  <c r="T181" i="1"/>
  <c r="Y174" i="1"/>
  <c r="Z182" i="1"/>
  <c r="AC182" i="1" s="1"/>
  <c r="AM185" i="1" s="1"/>
  <c r="AQ185" i="1" s="1"/>
  <c r="AG178" i="1" l="1"/>
  <c r="AH178" i="1"/>
  <c r="AI178" i="1"/>
  <c r="AA182" i="1"/>
  <c r="AD182" i="1" s="1"/>
  <c r="AE182" i="1" s="1"/>
  <c r="AN182" i="1" s="1"/>
  <c r="Z174" i="1"/>
  <c r="AC174" i="1" s="1"/>
  <c r="AM177" i="1" s="1"/>
  <c r="AQ177" i="1" s="1"/>
  <c r="AB174" i="1"/>
  <c r="X181" i="1"/>
  <c r="T185" i="1"/>
  <c r="V185" i="1"/>
  <c r="AG182" i="1" l="1"/>
  <c r="AI182" i="1" s="1"/>
  <c r="AA174" i="1"/>
  <c r="AD174" i="1" s="1"/>
  <c r="AE174" i="1" s="1"/>
  <c r="AN174" i="1" s="1"/>
  <c r="W185" i="1"/>
  <c r="X185" i="1" s="1"/>
  <c r="Y185" i="1" s="1"/>
  <c r="AH182" i="1"/>
  <c r="Y181" i="1"/>
  <c r="V177" i="1"/>
  <c r="W177" i="1" s="1"/>
  <c r="T177" i="1"/>
  <c r="AG174" i="1" l="1"/>
  <c r="X177" i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N185" i="1" s="1"/>
  <c r="AE181" i="1"/>
  <c r="AN181" i="1" s="1"/>
  <c r="V184" i="1"/>
  <c r="W184" i="1" s="1"/>
  <c r="X184" i="1" s="1"/>
  <c r="T184" i="1"/>
  <c r="Z177" i="1"/>
  <c r="AC177" i="1" s="1"/>
  <c r="AM180" i="1" s="1"/>
  <c r="AQ180" i="1" s="1"/>
  <c r="T188" i="1"/>
  <c r="V188" i="1"/>
  <c r="W188" i="1" s="1"/>
  <c r="AB177" i="1"/>
  <c r="AG185" i="1" l="1"/>
  <c r="AG181" i="1"/>
  <c r="AI181" i="1" s="1"/>
  <c r="AH185" i="1"/>
  <c r="AI185" i="1"/>
  <c r="AA177" i="1"/>
  <c r="AD177" i="1" s="1"/>
  <c r="AE177" i="1" s="1"/>
  <c r="AN177" i="1" s="1"/>
  <c r="AH181" i="1"/>
  <c r="Y184" i="1"/>
  <c r="T180" i="1"/>
  <c r="V180" i="1"/>
  <c r="X188" i="1"/>
  <c r="AG177" i="1" l="1"/>
  <c r="Z184" i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V187" i="1"/>
  <c r="AA184" i="1"/>
  <c r="AD184" i="1" s="1"/>
  <c r="AE184" i="1" s="1"/>
  <c r="AN184" i="1" s="1"/>
  <c r="AG184" i="1" l="1"/>
  <c r="AA188" i="1"/>
  <c r="AD188" i="1" s="1"/>
  <c r="AE188" i="1" s="1"/>
  <c r="AN188" i="1" s="1"/>
  <c r="AI184" i="1"/>
  <c r="AH184" i="1"/>
  <c r="V191" i="1"/>
  <c r="T191" i="1"/>
  <c r="W187" i="1"/>
  <c r="X187" i="1" s="1"/>
  <c r="Z180" i="1"/>
  <c r="AC180" i="1" s="1"/>
  <c r="AM183" i="1" s="1"/>
  <c r="AQ183" i="1" s="1"/>
  <c r="AB180" i="1"/>
  <c r="AG188" i="1" l="1"/>
  <c r="AI188" i="1" s="1"/>
  <c r="AH188" i="1"/>
  <c r="V183" i="1"/>
  <c r="W183" i="1" s="1"/>
  <c r="X183" i="1" s="1"/>
  <c r="T183" i="1"/>
  <c r="Y187" i="1"/>
  <c r="AA180" i="1"/>
  <c r="AD180" i="1" s="1"/>
  <c r="AE180" i="1" s="1"/>
  <c r="AN180" i="1" s="1"/>
  <c r="W191" i="1"/>
  <c r="AG180" i="1" l="1"/>
  <c r="AH180" i="1" s="1"/>
  <c r="X191" i="1"/>
  <c r="Z187" i="1"/>
  <c r="AC187" i="1" s="1"/>
  <c r="AM190" i="1" s="1"/>
  <c r="AQ190" i="1" s="1"/>
  <c r="AB187" i="1"/>
  <c r="Y183" i="1"/>
  <c r="AB183" i="1" s="1"/>
  <c r="AI180" i="1" l="1"/>
  <c r="Z183" i="1"/>
  <c r="AC183" i="1" s="1"/>
  <c r="AM186" i="1" s="1"/>
  <c r="AQ186" i="1" s="1"/>
  <c r="V190" i="1"/>
  <c r="W190" i="1" s="1"/>
  <c r="X190" i="1" s="1"/>
  <c r="T190" i="1"/>
  <c r="AA187" i="1"/>
  <c r="AD187" i="1" s="1"/>
  <c r="AE187" i="1" s="1"/>
  <c r="AN187" i="1" s="1"/>
  <c r="Y191" i="1"/>
  <c r="AG187" i="1" l="1"/>
  <c r="AA183" i="1"/>
  <c r="AD183" i="1" s="1"/>
  <c r="AE183" i="1" s="1"/>
  <c r="AN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G183" i="1" l="1"/>
  <c r="AI183" i="1" s="1"/>
  <c r="AA191" i="1"/>
  <c r="AD191" i="1" s="1"/>
  <c r="AE191" i="1" s="1"/>
  <c r="AN191" i="1" s="1"/>
  <c r="V194" i="1"/>
  <c r="W194" i="1" s="1"/>
  <c r="X194" i="1" s="1"/>
  <c r="T194" i="1"/>
  <c r="Z190" i="1"/>
  <c r="AC190" i="1" s="1"/>
  <c r="AM193" i="1" s="1"/>
  <c r="AQ193" i="1" s="1"/>
  <c r="W186" i="1"/>
  <c r="X186" i="1" s="1"/>
  <c r="AH183" i="1" l="1"/>
  <c r="AG191" i="1"/>
  <c r="AH191" i="1" s="1"/>
  <c r="AA190" i="1"/>
  <c r="AD190" i="1" s="1"/>
  <c r="Y194" i="1"/>
  <c r="AB194" i="1" s="1"/>
  <c r="Y186" i="1"/>
  <c r="T193" i="1"/>
  <c r="V193" i="1"/>
  <c r="AE190" i="1"/>
  <c r="AN190" i="1" s="1"/>
  <c r="AI191" i="1" l="1"/>
  <c r="AG190" i="1"/>
  <c r="AH190" i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N186" i="1" s="1"/>
  <c r="V197" i="1"/>
  <c r="W197" i="1" s="1"/>
  <c r="X197" i="1" s="1"/>
  <c r="T197" i="1"/>
  <c r="AA194" i="1"/>
  <c r="AD194" i="1" s="1"/>
  <c r="AE194" i="1" s="1"/>
  <c r="AN194" i="1" s="1"/>
  <c r="V189" i="1"/>
  <c r="W189" i="1" s="1"/>
  <c r="T189" i="1"/>
  <c r="X193" i="1"/>
  <c r="AG194" i="1" l="1"/>
  <c r="AG186" i="1"/>
  <c r="AH186" i="1" s="1"/>
  <c r="AH194" i="1"/>
  <c r="AI194" i="1"/>
  <c r="Y193" i="1"/>
  <c r="Y197" i="1"/>
  <c r="AB197" i="1" s="1"/>
  <c r="X189" i="1"/>
  <c r="AI186" i="1" l="1"/>
  <c r="Y189" i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V200" i="1"/>
  <c r="AA197" i="1"/>
  <c r="AD197" i="1" s="1"/>
  <c r="AE197" i="1" s="1"/>
  <c r="AN197" i="1" s="1"/>
  <c r="V196" i="1"/>
  <c r="T196" i="1"/>
  <c r="AA193" i="1"/>
  <c r="AD193" i="1" s="1"/>
  <c r="AE193" i="1" s="1"/>
  <c r="AN193" i="1" s="1"/>
  <c r="Z189" i="1"/>
  <c r="AC189" i="1" s="1"/>
  <c r="AM192" i="1" s="1"/>
  <c r="AQ192" i="1" s="1"/>
  <c r="AB189" i="1"/>
  <c r="AG193" i="1" l="1"/>
  <c r="AG197" i="1"/>
  <c r="AA189" i="1"/>
  <c r="AD189" i="1" s="1"/>
  <c r="AE189" i="1" s="1"/>
  <c r="AN189" i="1" s="1"/>
  <c r="AH197" i="1"/>
  <c r="AI197" i="1"/>
  <c r="T192" i="1"/>
  <c r="V192" i="1"/>
  <c r="AI193" i="1"/>
  <c r="AH193" i="1"/>
  <c r="W200" i="1"/>
  <c r="X200" i="1" s="1"/>
  <c r="W196" i="1"/>
  <c r="AG189" i="1" l="1"/>
  <c r="AI189" i="1" s="1"/>
  <c r="AH189" i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N200" i="1" s="1"/>
  <c r="Y192" i="1"/>
  <c r="Z196" i="1"/>
  <c r="AC196" i="1" s="1"/>
  <c r="AM199" i="1" s="1"/>
  <c r="AQ199" i="1" s="1"/>
  <c r="AB196" i="1"/>
  <c r="AG200" i="1" l="1"/>
  <c r="AI200" i="1"/>
  <c r="AH200" i="1"/>
  <c r="AA196" i="1"/>
  <c r="AD196" i="1" s="1"/>
  <c r="AE196" i="1" s="1"/>
  <c r="AN196" i="1" s="1"/>
  <c r="V199" i="1"/>
  <c r="W199" i="1" s="1"/>
  <c r="X199" i="1" s="1"/>
  <c r="T199" i="1"/>
  <c r="Z192" i="1"/>
  <c r="AC192" i="1" s="1"/>
  <c r="AM195" i="1" s="1"/>
  <c r="AQ195" i="1" s="1"/>
  <c r="AB192" i="1"/>
  <c r="AG196" i="1" l="1"/>
  <c r="AA192" i="1"/>
  <c r="AD192" i="1" s="1"/>
  <c r="AE192" i="1" s="1"/>
  <c r="AN192" i="1" s="1"/>
  <c r="AI196" i="1"/>
  <c r="AH196" i="1"/>
  <c r="V195" i="1"/>
  <c r="W195" i="1" s="1"/>
  <c r="X195" i="1" s="1"/>
  <c r="T195" i="1"/>
  <c r="Y199" i="1"/>
  <c r="AG192" i="1" l="1"/>
  <c r="Y195" i="1"/>
  <c r="AB195" i="1" s="1"/>
  <c r="Z199" i="1"/>
  <c r="AC199" i="1" s="1"/>
  <c r="AB199" i="1"/>
  <c r="AI192" i="1"/>
  <c r="AH192" i="1"/>
  <c r="AA199" i="1" l="1"/>
  <c r="AD199" i="1" s="1"/>
  <c r="AE199" i="1" s="1"/>
  <c r="AN199" i="1" s="1"/>
  <c r="Z195" i="1"/>
  <c r="AC195" i="1" s="1"/>
  <c r="AM198" i="1" s="1"/>
  <c r="AQ198" i="1" s="1"/>
  <c r="AG199" i="1" l="1"/>
  <c r="AA195" i="1"/>
  <c r="AD195" i="1" s="1"/>
  <c r="AE195" i="1" s="1"/>
  <c r="AN195" i="1" s="1"/>
  <c r="V198" i="1"/>
  <c r="W198" i="1" s="1"/>
  <c r="T198" i="1"/>
  <c r="AI199" i="1"/>
  <c r="AH199" i="1"/>
  <c r="AG195" i="1" l="1"/>
  <c r="AI195" i="1"/>
  <c r="AH195" i="1"/>
  <c r="X198" i="1"/>
  <c r="Y198" i="1" l="1"/>
  <c r="Z198" i="1" l="1"/>
  <c r="AC198" i="1" s="1"/>
  <c r="AB198" i="1"/>
  <c r="AA198" i="1" l="1"/>
  <c r="AD198" i="1" s="1"/>
  <c r="AE198" i="1" s="1"/>
  <c r="AN198" i="1" s="1"/>
  <c r="AG198" i="1" l="1"/>
  <c r="H5" i="1" s="1"/>
  <c r="AI198" i="1"/>
  <c r="AH198" i="1"/>
</calcChain>
</file>

<file path=xl/sharedStrings.xml><?xml version="1.0" encoding="utf-8"?>
<sst xmlns="http://schemas.openxmlformats.org/spreadsheetml/2006/main" count="454" uniqueCount="222">
  <si>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</si>
  <si>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</si>
  <si>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</si>
  <si>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</si>
  <si>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</si>
  <si>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</si>
  <si>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</si>
  <si>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</si>
  <si>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</si>
  <si>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</si>
  <si>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</si>
  <si>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</si>
  <si>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</si>
  <si>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</si>
  <si>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</si>
  <si>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</si>
  <si>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</si>
  <si>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</si>
  <si>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</si>
  <si>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</si>
  <si>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</si>
  <si>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</si>
  <si>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</si>
  <si>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</si>
  <si>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</si>
  <si>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</si>
  <si>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</si>
  <si>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</si>
  <si>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</si>
  <si>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</si>
  <si>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</si>
  <si>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</si>
  <si>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</si>
  <si>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</si>
  <si>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</si>
  <si>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</si>
  <si>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</si>
  <si>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</si>
  <si>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</si>
  <si>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</si>
  <si>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</si>
  <si>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</si>
  <si>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</si>
  <si>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</si>
  <si>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</si>
  <si>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</si>
  <si>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</si>
  <si>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</si>
  <si>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</si>
  <si>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</si>
  <si>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</si>
  <si>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</si>
  <si>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</si>
  <si>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</si>
  <si>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</si>
  <si>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</si>
  <si>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</si>
  <si>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</si>
  <si>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</si>
  <si>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</si>
  <si>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</si>
  <si>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</si>
  <si>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</si>
  <si>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</si>
  <si>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</si>
  <si>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</si>
  <si>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</si>
  <si>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</si>
  <si>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</si>
  <si>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</si>
  <si>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</si>
  <si>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</si>
  <si>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</si>
  <si>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</si>
  <si>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</si>
  <si>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</si>
  <si>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</si>
  <si>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</si>
  <si>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</si>
  <si>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</si>
  <si>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</si>
  <si>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</si>
  <si>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</si>
  <si>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</si>
  <si>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</si>
  <si>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</si>
  <si>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</si>
  <si>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</si>
  <si>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</si>
  <si>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</si>
  <si>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</si>
  <si>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</si>
  <si>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</si>
  <si>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</si>
  <si>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</si>
  <si>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</si>
  <si>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</si>
  <si>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</si>
  <si>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</si>
  <si>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</si>
  <si>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</si>
  <si>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</si>
  <si>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</si>
  <si>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</si>
  <si>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</si>
  <si>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</si>
  <si>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</si>
  <si>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</si>
  <si>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</si>
  <si>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</si>
  <si>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</si>
  <si>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</si>
  <si>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</si>
  <si>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</si>
  <si>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</si>
  <si>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</si>
  <si>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</si>
  <si>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</si>
  <si>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</si>
  <si>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</si>
  <si>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</si>
  <si>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</si>
  <si>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</si>
  <si>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</si>
  <si>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</si>
  <si>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</si>
  <si>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</si>
  <si>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</si>
  <si>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</si>
  <si>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</si>
  <si>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</si>
  <si>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</si>
  <si>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</si>
  <si>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</si>
  <si>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</si>
  <si>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</si>
  <si>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</si>
  <si>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</si>
  <si>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</si>
  <si>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</si>
  <si>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</si>
  <si>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</si>
  <si>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</si>
  <si>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</si>
  <si>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</si>
  <si>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</si>
  <si>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</si>
  <si>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</si>
  <si>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</si>
  <si>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</si>
  <si>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</si>
  <si>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</si>
  <si>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</si>
  <si>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</si>
  <si>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</si>
  <si>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</si>
  <si>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</si>
  <si>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</si>
  <si>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</si>
  <si>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</si>
  <si>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</si>
  <si>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</si>
  <si>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</si>
  <si>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</si>
  <si>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</si>
  <si>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</si>
  <si>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</si>
  <si>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</si>
  <si>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</si>
  <si>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</si>
  <si>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</si>
  <si>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</si>
  <si>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</si>
  <si>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</si>
  <si>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</si>
  <si>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</si>
  <si>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</si>
  <si>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</si>
  <si>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</si>
  <si>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</si>
  <si>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</si>
  <si>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</si>
  <si>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</si>
  <si>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</si>
  <si>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</si>
  <si>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</si>
  <si>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</si>
  <si>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</si>
  <si>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</si>
  <si>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</si>
  <si>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</si>
  <si>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</si>
  <si>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</si>
  <si>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</si>
  <si>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</si>
  <si>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</si>
  <si>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</si>
  <si>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</si>
  <si>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</si>
  <si>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</si>
  <si>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</si>
  <si>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</si>
  <si>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</si>
  <si>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</si>
  <si>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</si>
  <si>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</si>
  <si>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</si>
  <si>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</si>
  <si>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</si>
  <si>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</si>
  <si>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</si>
  <si>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</si>
  <si>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</si>
  <si>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</si>
  <si>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</si>
  <si>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</si>
  <si>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6,35</t>
  </si>
  <si>
    <t>TEMPO_TOTAL</t>
  </si>
  <si>
    <t>PREENCHER</t>
  </si>
  <si>
    <t>CLIENTE: PREENCHER</t>
  </si>
  <si>
    <t>ORÇAMENTO: 3298</t>
  </si>
  <si>
    <t>SEM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</si>
</sst>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sz val="8"/>
      <color theme="0"/>
      <name val="Cascadia Code"/>
      <family val="3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scadia Code SemiBold"/>
      <family val="3"/>
    </font>
    <font>
      <b/>
      <sz val="8"/>
      <name val="Cascadia Code SemiBold"/>
      <family val="3"/>
    </font>
    <font>
      <sz val="8"/>
      <name val="Cascadia Code SemiBold"/>
      <family val="3"/>
    </font>
    <font>
      <b/>
      <sz val="14"/>
      <color rgb="FFFF0000"/>
      <name val="Cascadia Code SemiBold"/>
      <family val="3"/>
    </font>
    <font>
      <b/>
      <sz val="8"/>
      <color theme="1"/>
      <name val="Cascadia Code SemiBold"/>
      <family val="3"/>
    </font>
    <font>
      <sz val="8"/>
      <color theme="0"/>
      <name val="Cascadia Code SemiBold"/>
      <family val="3"/>
    </font>
    <font>
      <sz val="11"/>
      <color theme="1"/>
      <name val="Cascadia Code SemiBold"/>
      <family val="3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8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3" fillId="0" borderId="0" xfId="0" applyFont="1"/>
    <xf numFmtId="0" fontId="14" fillId="0" borderId="0" xfId="0" applyFont="1"/>
    <xf numFmtId="0" fontId="15" fillId="17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44" fontId="13" fillId="16" borderId="1" xfId="0" applyNumberFormat="1" applyFont="1" applyFill="1" applyBorder="1" applyAlignment="1">
      <alignment horizontal="center" vertical="center"/>
    </xf>
    <xf numFmtId="1" fontId="13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49" fontId="13" fillId="16" borderId="1" xfId="0" applyNumberFormat="1" applyFont="1" applyFill="1" applyBorder="1" applyAlignment="1">
      <alignment horizontal="center" vertical="center"/>
    </xf>
    <xf numFmtId="0" fontId="17" fillId="0" borderId="0" xfId="0" applyFont="1"/>
    <xf numFmtId="1" fontId="13" fillId="3" borderId="1" xfId="0" applyNumberFormat="1" applyFont="1" applyFill="1" applyBorder="1" applyAlignment="1">
      <alignment horizontal="center" vertical="center"/>
    </xf>
    <xf numFmtId="164" fontId="13" fillId="16" borderId="1" xfId="0" applyNumberFormat="1" applyFont="1" applyFill="1" applyBorder="1" applyAlignment="1">
      <alignment horizontal="center" vertical="center"/>
    </xf>
    <xf numFmtId="168" fontId="13" fillId="16" borderId="1" xfId="0" applyNumberFormat="1" applyFont="1" applyFill="1" applyBorder="1" applyAlignment="1">
      <alignment horizontal="center" vertical="center"/>
    </xf>
    <xf numFmtId="169" fontId="13" fillId="16" borderId="1" xfId="0" applyNumberFormat="1" applyFont="1" applyFill="1" applyBorder="1" applyAlignment="1">
      <alignment horizontal="center" vertical="center"/>
    </xf>
    <xf numFmtId="169" fontId="13" fillId="8" borderId="1" xfId="0" applyNumberFormat="1" applyFont="1" applyFill="1" applyBorder="1"/>
    <xf numFmtId="10" fontId="13" fillId="16" borderId="1" xfId="0" applyNumberFormat="1" applyFont="1" applyFill="1" applyBorder="1" applyAlignment="1">
      <alignment horizontal="center" vertical="center"/>
    </xf>
    <xf numFmtId="2" fontId="13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5" fillId="17" borderId="1" xfId="0" applyNumberFormat="1" applyFont="1" applyFill="1" applyBorder="1" applyAlignment="1">
      <alignment horizontal="center" vertical="center" wrapText="1"/>
    </xf>
    <xf numFmtId="0" fontId="18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5" fillId="17" borderId="12" xfId="0" applyNumberFormat="1" applyFont="1" applyFill="1" applyBorder="1" applyAlignment="1">
      <alignment horizontal="center" vertical="center" wrapText="1"/>
    </xf>
    <xf numFmtId="164" fontId="15" fillId="0" borderId="7" xfId="3" applyNumberFormat="1" applyFont="1" applyBorder="1"/>
    <xf numFmtId="43" fontId="15" fillId="17" borderId="7" xfId="3" applyFont="1" applyFill="1" applyBorder="1"/>
    <xf numFmtId="164" fontId="15" fillId="17" borderId="7" xfId="3" applyNumberFormat="1" applyFont="1" applyFill="1" applyBorder="1"/>
    <xf numFmtId="10" fontId="15" fillId="0" borderId="15" xfId="3" applyNumberFormat="1" applyFont="1" applyBorder="1"/>
    <xf numFmtId="46" fontId="13" fillId="0" borderId="0" xfId="0" applyNumberFormat="1" applyFont="1"/>
    <xf numFmtId="46" fontId="15" fillId="3" borderId="7" xfId="0" applyNumberFormat="1" applyFont="1" applyFill="1" applyBorder="1" applyAlignment="1">
      <alignment horizontal="right"/>
    </xf>
    <xf numFmtId="46" fontId="15" fillId="17" borderId="7" xfId="0" applyNumberFormat="1" applyFont="1" applyFill="1" applyBorder="1" applyAlignment="1">
      <alignment horizontal="right"/>
    </xf>
    <xf numFmtId="0" fontId="13" fillId="0" borderId="0" xfId="0" applyFont="1" applyAlignment="1"/>
    <xf numFmtId="0" fontId="16" fillId="0" borderId="0" xfId="0" applyFont="1"/>
    <xf numFmtId="0" fontId="16" fillId="0" borderId="0" xfId="0" applyFont="1" applyAlignment="1"/>
    <xf numFmtId="170" fontId="13" fillId="5" borderId="1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2" fontId="16" fillId="3" borderId="2" xfId="0" applyNumberFormat="1" applyFont="1" applyFill="1" applyBorder="1" applyAlignment="1">
      <alignment horizontal="center" vertical="center"/>
    </xf>
    <xf numFmtId="49" fontId="13" fillId="4" borderId="2" xfId="0" applyNumberFormat="1" applyFont="1" applyFill="1" applyBorder="1" applyAlignment="1">
      <alignment horizontal="center" vertical="center"/>
    </xf>
    <xf numFmtId="1" fontId="13" fillId="3" borderId="2" xfId="0" applyNumberFormat="1" applyFont="1" applyFill="1" applyBorder="1" applyAlignment="1">
      <alignment horizontal="center" vertical="center"/>
    </xf>
    <xf numFmtId="4" fontId="13" fillId="6" borderId="2" xfId="0" applyNumberFormat="1" applyFont="1" applyFill="1" applyBorder="1" applyAlignment="1">
      <alignment horizontal="center" vertical="center"/>
    </xf>
    <xf numFmtId="43" fontId="13" fillId="5" borderId="2" xfId="3" applyFont="1" applyFill="1" applyBorder="1" applyAlignment="1">
      <alignment vertical="center"/>
    </xf>
    <xf numFmtId="2" fontId="13" fillId="5" borderId="2" xfId="0" applyNumberFormat="1" applyFont="1" applyFill="1" applyBorder="1" applyAlignment="1">
      <alignment horizontal="center" vertical="center"/>
    </xf>
    <xf numFmtId="164" fontId="13" fillId="16" borderId="2" xfId="0" applyNumberFormat="1" applyFont="1" applyFill="1" applyBorder="1" applyAlignment="1">
      <alignment horizontal="center" vertical="center"/>
    </xf>
    <xf numFmtId="49" fontId="13" fillId="16" borderId="2" xfId="0" applyNumberFormat="1" applyFont="1" applyFill="1" applyBorder="1" applyAlignment="1">
      <alignment horizontal="center" vertical="center"/>
    </xf>
    <xf numFmtId="44" fontId="13" fillId="16" borderId="2" xfId="0" applyNumberFormat="1" applyFont="1" applyFill="1" applyBorder="1" applyAlignment="1">
      <alignment horizontal="center" vertical="center"/>
    </xf>
    <xf numFmtId="169" fontId="13" fillId="16" borderId="2" xfId="0" applyNumberFormat="1" applyFont="1" applyFill="1" applyBorder="1" applyAlignment="1">
      <alignment horizontal="center" vertical="center"/>
    </xf>
    <xf numFmtId="169" fontId="13" fillId="8" borderId="2" xfId="0" applyNumberFormat="1" applyFont="1" applyFill="1" applyBorder="1"/>
    <xf numFmtId="10" fontId="13" fillId="16" borderId="2" xfId="0" applyNumberFormat="1" applyFont="1" applyFill="1" applyBorder="1" applyAlignment="1">
      <alignment horizontal="center" vertical="center"/>
    </xf>
    <xf numFmtId="2" fontId="13" fillId="8" borderId="2" xfId="0" applyNumberFormat="1" applyFont="1" applyFill="1" applyBorder="1" applyAlignment="1">
      <alignment horizontal="center" vertical="center"/>
    </xf>
    <xf numFmtId="1" fontId="13" fillId="5" borderId="2" xfId="0" applyNumberFormat="1" applyFont="1" applyFill="1" applyBorder="1" applyAlignment="1">
      <alignment horizontal="center" vertical="center"/>
    </xf>
    <xf numFmtId="170" fontId="13" fillId="5" borderId="2" xfId="0" applyNumberFormat="1" applyFont="1" applyFill="1" applyBorder="1" applyAlignment="1">
      <alignment horizontal="center" vertical="center"/>
    </xf>
    <xf numFmtId="0" fontId="23" fillId="19" borderId="40" xfId="0" applyFont="1" applyFill="1" applyBorder="1" applyAlignment="1">
      <alignment horizontal="center" vertical="center" wrapText="1"/>
    </xf>
    <xf numFmtId="0" fontId="26" fillId="22" borderId="5" xfId="0" applyFont="1" applyFill="1" applyBorder="1" applyAlignment="1"/>
    <xf numFmtId="0" fontId="14" fillId="0" borderId="41" xfId="0" applyFont="1" applyBorder="1" applyAlignment="1"/>
    <xf numFmtId="0" fontId="27" fillId="0" borderId="0" xfId="0" applyFont="1" applyAlignment="1">
      <alignment horizontal="center" vertical="center"/>
    </xf>
    <xf numFmtId="0" fontId="27" fillId="26" borderId="45" xfId="0" applyFont="1" applyFill="1" applyBorder="1" applyAlignment="1">
      <alignment horizontal="center" vertical="center"/>
    </xf>
    <xf numFmtId="0" fontId="27" fillId="24" borderId="45" xfId="0" applyFont="1" applyFill="1" applyBorder="1" applyAlignment="1">
      <alignment horizontal="center" vertical="center"/>
    </xf>
    <xf numFmtId="0" fontId="30" fillId="25" borderId="44" xfId="0" applyFont="1" applyFill="1" applyBorder="1" applyAlignment="1">
      <alignment horizontal="center" vertical="center"/>
    </xf>
    <xf numFmtId="0" fontId="15" fillId="17" borderId="22" xfId="0" applyFont="1" applyFill="1" applyBorder="1" applyAlignment="1">
      <alignment horizontal="center" vertical="center" wrapText="1"/>
    </xf>
    <xf numFmtId="0" fontId="13" fillId="0" borderId="3" xfId="0" applyFont="1" applyBorder="1"/>
    <xf numFmtId="0" fontId="13" fillId="0" borderId="7" xfId="0" applyFont="1" applyBorder="1"/>
    <xf numFmtId="0" fontId="13" fillId="0" borderId="5" xfId="0" applyFont="1" applyBorder="1"/>
    <xf numFmtId="171" fontId="27" fillId="26" borderId="45" xfId="0" applyNumberFormat="1" applyFont="1" applyFill="1" applyBorder="1" applyAlignment="1">
      <alignment horizontal="center" vertical="center"/>
    </xf>
    <xf numFmtId="171" fontId="27" fillId="24" borderId="45" xfId="0" applyNumberFormat="1" applyFont="1" applyFill="1" applyBorder="1" applyAlignment="1">
      <alignment horizontal="center" vertical="center"/>
    </xf>
    <xf numFmtId="171" fontId="27" fillId="0" borderId="0" xfId="0" applyNumberFormat="1" applyFont="1" applyAlignment="1">
      <alignment horizontal="center" vertical="center"/>
    </xf>
    <xf numFmtId="10" fontId="27" fillId="26" borderId="45" xfId="0" applyNumberFormat="1" applyFont="1" applyFill="1" applyBorder="1" applyAlignment="1">
      <alignment horizontal="center" vertical="center"/>
    </xf>
    <xf numFmtId="10" fontId="27" fillId="24" borderId="45" xfId="0" applyNumberFormat="1" applyFont="1" applyFill="1" applyBorder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46" fontId="27" fillId="26" borderId="45" xfId="0" applyNumberFormat="1" applyFont="1" applyFill="1" applyBorder="1" applyAlignment="1">
      <alignment horizontal="center" vertical="center"/>
    </xf>
    <xf numFmtId="46" fontId="27" fillId="24" borderId="45" xfId="0" applyNumberFormat="1" applyFont="1" applyFill="1" applyBorder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29" fillId="23" borderId="42" xfId="0" applyFont="1" applyFill="1" applyBorder="1" applyAlignment="1">
      <alignment horizontal="center" vertical="center" wrapText="1"/>
    </xf>
    <xf numFmtId="164" fontId="27" fillId="26" borderId="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7" fillId="24" borderId="45" xfId="0" applyNumberFormat="1" applyFont="1" applyFill="1" applyBorder="1" applyAlignment="1">
      <alignment horizontal="center" vertical="center"/>
    </xf>
    <xf numFmtId="0" fontId="23" fillId="19" borderId="46" xfId="0" applyFont="1" applyFill="1" applyBorder="1" applyAlignment="1">
      <alignment horizontal="center" vertical="center" wrapText="1"/>
    </xf>
    <xf numFmtId="0" fontId="23" fillId="20" borderId="40" xfId="0" applyFont="1" applyFill="1" applyBorder="1" applyAlignment="1">
      <alignment horizontal="center" vertical="center" wrapText="1"/>
    </xf>
    <xf numFmtId="0" fontId="23" fillId="21" borderId="40" xfId="0" applyFont="1" applyFill="1" applyBorder="1" applyAlignment="1">
      <alignment horizontal="center" vertical="center" wrapText="1"/>
    </xf>
    <xf numFmtId="0" fontId="13" fillId="0" borderId="40" xfId="0" applyFont="1" applyBorder="1" applyAlignment="1">
      <alignment wrapText="1"/>
    </xf>
    <xf numFmtId="0" fontId="11" fillId="28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3" fillId="29" borderId="47" xfId="0" applyFont="1" applyFill="1" applyBorder="1" applyAlignment="1">
      <alignment horizontal="center" vertical="center" wrapText="1"/>
    </xf>
    <xf numFmtId="0" fontId="11" fillId="27" borderId="1" xfId="0" applyFont="1" applyFill="1" applyBorder="1" applyAlignment="1">
      <alignment horizontal="center" vertical="center" wrapText="1"/>
    </xf>
    <xf numFmtId="46" fontId="12" fillId="3" borderId="0" xfId="0" applyNumberFormat="1" applyFont="1" applyFill="1" applyBorder="1" applyAlignment="1">
      <alignment horizontal="center"/>
    </xf>
    <xf numFmtId="43" fontId="25" fillId="0" borderId="0" xfId="3" applyFont="1" applyBorder="1"/>
    <xf numFmtId="0" fontId="25" fillId="0" borderId="0" xfId="0" applyFont="1" applyBorder="1"/>
    <xf numFmtId="0" fontId="19" fillId="19" borderId="0" xfId="0" applyFont="1" applyFill="1" applyAlignment="1">
      <alignment horizontal="center" vertical="center" wrapText="1"/>
    </xf>
    <xf numFmtId="0" fontId="20" fillId="19" borderId="0" xfId="0" applyFont="1" applyFill="1" applyAlignment="1">
      <alignment horizontal="left"/>
    </xf>
    <xf numFmtId="0" fontId="21" fillId="19" borderId="0" xfId="0" applyFont="1" applyFill="1" applyAlignment="1">
      <alignment horizontal="right" vertical="center"/>
    </xf>
    <xf numFmtId="0" fontId="15" fillId="0" borderId="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24" fillId="18" borderId="3" xfId="0" applyFont="1" applyFill="1" applyBorder="1" applyAlignment="1">
      <alignment horizontal="center"/>
    </xf>
    <xf numFmtId="0" fontId="24" fillId="18" borderId="6" xfId="0" applyFont="1" applyFill="1" applyBorder="1" applyAlignment="1">
      <alignment horizontal="center"/>
    </xf>
    <xf numFmtId="0" fontId="24" fillId="18" borderId="7" xfId="0" applyFont="1" applyFill="1" applyBorder="1" applyAlignment="1">
      <alignment horizontal="center"/>
    </xf>
    <xf numFmtId="0" fontId="15" fillId="17" borderId="3" xfId="0" applyFont="1" applyFill="1" applyBorder="1" applyAlignment="1">
      <alignment horizontal="center"/>
    </xf>
    <xf numFmtId="0" fontId="15" fillId="17" borderId="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14" fontId="21" fillId="19" borderId="0" xfId="0" applyNumberFormat="1" applyFont="1" applyFill="1" applyAlignment="1">
      <alignment horizontal="left" vertical="center"/>
    </xf>
    <xf numFmtId="0" fontId="21" fillId="19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18" fillId="23" borderId="1" xfId="0" applyFont="1" applyFill="1" applyBorder="1" applyAlignment="1">
      <alignment horizontal="center" vertical="center"/>
    </xf>
    <xf numFmtId="0" fontId="30" fillId="24" borderId="43" xfId="0" applyFont="1" applyFill="1" applyBorder="1" applyAlignment="1">
      <alignment horizontal="center" vertical="center"/>
    </xf>
    <xf numFmtId="164" fontId="30" fillId="24" borderId="43" xfId="0" applyNumberFormat="1" applyFont="1" applyFill="1" applyBorder="1" applyAlignment="1">
      <alignment horizontal="center" vertical="center"/>
    </xf>
    <xf numFmtId="21" fontId="30" fillId="24" borderId="43" xfId="0" applyNumberFormat="1" applyFont="1" applyFill="1" applyBorder="1" applyAlignment="1">
      <alignment horizontal="center" vertical="center"/>
    </xf>
    <xf numFmtId="171" fontId="30" fillId="24" borderId="43" xfId="0" applyNumberFormat="1" applyFont="1" applyFill="1" applyBorder="1" applyAlignment="1">
      <alignment horizontal="center" vertical="center"/>
    </xf>
    <xf numFmtId="10" fontId="30" fillId="24" borderId="43" xfId="0" applyNumberFormat="1" applyFont="1" applyFill="1" applyBorder="1" applyAlignment="1">
      <alignment horizontal="center" vertical="center"/>
    </xf>
    <xf numFmtId="0" fontId="29" fillId="23" borderId="42" xfId="0" applyFont="1" applyFill="1" applyBorder="1" applyAlignment="1">
      <alignment horizontal="center" vertical="center" wrapText="1"/>
    </xf>
    <xf numFmtId="0" fontId="28" fillId="23" borderId="42" xfId="0" applyFont="1" applyFill="1" applyBorder="1" applyAlignment="1">
      <alignment horizontal="center" vertical="center" wrapText="1"/>
    </xf>
    <xf numFmtId="0" fontId="19" fillId="23" borderId="42" xfId="0" applyFont="1" applyFill="1" applyBorder="1" applyAlignment="1">
      <alignment horizontal="center" vertical="center" wrapText="1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31" fillId="0" borderId="0" xfId="0" applyFont="1"/>
    <xf numFmtId="0" fontId="32" fillId="10" borderId="3" xfId="0" applyFont="1" applyFill="1" applyBorder="1" applyAlignment="1" applyProtection="1">
      <alignment horizontal="center" vertical="center"/>
      <protection hidden="1"/>
    </xf>
    <xf numFmtId="0" fontId="31" fillId="10" borderId="6" xfId="0" applyFont="1" applyFill="1" applyBorder="1"/>
    <xf numFmtId="0" fontId="31" fillId="10" borderId="7" xfId="0" applyFont="1" applyFill="1" applyBorder="1"/>
    <xf numFmtId="0" fontId="32" fillId="9" borderId="3" xfId="0" applyFont="1" applyFill="1" applyBorder="1" applyAlignment="1" applyProtection="1">
      <alignment horizontal="center" vertical="center"/>
      <protection hidden="1"/>
    </xf>
    <xf numFmtId="0" fontId="31" fillId="9" borderId="6" xfId="0" applyFont="1" applyFill="1" applyBorder="1"/>
    <xf numFmtId="0" fontId="31" fillId="9" borderId="7" xfId="0" applyFont="1" applyFill="1" applyBorder="1"/>
    <xf numFmtId="0" fontId="31" fillId="3" borderId="0" xfId="0" applyFont="1" applyFill="1" applyBorder="1"/>
    <xf numFmtId="0" fontId="32" fillId="12" borderId="4" xfId="0" applyFont="1" applyFill="1" applyBorder="1" applyAlignment="1" applyProtection="1">
      <alignment horizontal="center" vertical="center"/>
      <protection hidden="1"/>
    </xf>
    <xf numFmtId="0" fontId="31" fillId="12" borderId="14" xfId="0" applyFont="1" applyFill="1" applyBorder="1"/>
    <xf numFmtId="0" fontId="31" fillId="12" borderId="15" xfId="0" applyFont="1" applyFill="1" applyBorder="1"/>
    <xf numFmtId="0" fontId="33" fillId="0" borderId="0" xfId="0" applyFont="1" applyAlignment="1" applyProtection="1">
      <alignment horizontal="center" vertical="center"/>
      <protection hidden="1"/>
    </xf>
    <xf numFmtId="0" fontId="34" fillId="8" borderId="3" xfId="0" applyFont="1" applyFill="1" applyBorder="1" applyAlignment="1" applyProtection="1">
      <alignment horizontal="center" vertical="center"/>
      <protection hidden="1"/>
    </xf>
    <xf numFmtId="0" fontId="34" fillId="8" borderId="7" xfId="0" applyFont="1" applyFill="1" applyBorder="1" applyAlignment="1" applyProtection="1">
      <alignment horizontal="center" vertical="center"/>
      <protection hidden="1"/>
    </xf>
    <xf numFmtId="0" fontId="32" fillId="18" borderId="3" xfId="0" applyFont="1" applyFill="1" applyBorder="1" applyAlignment="1" applyProtection="1">
      <alignment vertical="center"/>
      <protection hidden="1"/>
    </xf>
    <xf numFmtId="46" fontId="35" fillId="18" borderId="6" xfId="0" applyNumberFormat="1" applyFont="1" applyFill="1" applyBorder="1" applyAlignment="1">
      <alignment vertical="center"/>
    </xf>
    <xf numFmtId="46" fontId="35" fillId="18" borderId="7" xfId="0" applyNumberFormat="1" applyFont="1" applyFill="1" applyBorder="1" applyAlignment="1">
      <alignment vertical="center"/>
    </xf>
    <xf numFmtId="0" fontId="31" fillId="0" borderId="3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4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35" fillId="8" borderId="12" xfId="0" applyFont="1" applyFill="1" applyBorder="1" applyAlignment="1">
      <alignment horizontal="center" vertical="center"/>
    </xf>
    <xf numFmtId="0" fontId="35" fillId="8" borderId="13" xfId="0" applyFont="1" applyFill="1" applyBorder="1" applyAlignment="1">
      <alignment horizontal="center" vertical="center"/>
    </xf>
    <xf numFmtId="0" fontId="32" fillId="7" borderId="2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8" borderId="2" xfId="0" applyFont="1" applyFill="1" applyBorder="1" applyAlignment="1">
      <alignment horizontal="center" vertical="center" wrapText="1"/>
    </xf>
    <xf numFmtId="0" fontId="32" fillId="3" borderId="0" xfId="0" applyFont="1" applyFill="1" applyBorder="1" applyAlignment="1">
      <alignment horizontal="center" vertical="center" wrapText="1"/>
    </xf>
    <xf numFmtId="0" fontId="32" fillId="8" borderId="1" xfId="0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horizontal="center" vertical="center"/>
      <protection hidden="1"/>
    </xf>
    <xf numFmtId="0" fontId="32" fillId="8" borderId="8" xfId="0" applyFont="1" applyFill="1" applyBorder="1" applyAlignment="1">
      <alignment horizontal="center" vertical="center"/>
    </xf>
    <xf numFmtId="0" fontId="32" fillId="8" borderId="9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center" vertical="center"/>
    </xf>
    <xf numFmtId="0" fontId="32" fillId="8" borderId="1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 wrapText="1"/>
    </xf>
    <xf numFmtId="0" fontId="35" fillId="18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2" fontId="32" fillId="7" borderId="1" xfId="0" applyNumberFormat="1" applyFont="1" applyFill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2" fontId="32" fillId="8" borderId="1" xfId="0" applyNumberFormat="1" applyFont="1" applyFill="1" applyBorder="1" applyAlignment="1">
      <alignment horizontal="center" vertical="center"/>
    </xf>
    <xf numFmtId="1" fontId="33" fillId="3" borderId="0" xfId="0" applyNumberFormat="1" applyFont="1" applyFill="1" applyBorder="1" applyAlignment="1">
      <alignment horizontal="center" vertical="center"/>
    </xf>
    <xf numFmtId="0" fontId="32" fillId="8" borderId="2" xfId="0" applyFont="1" applyFill="1" applyBorder="1" applyAlignment="1">
      <alignment vertical="center"/>
    </xf>
    <xf numFmtId="49" fontId="32" fillId="8" borderId="1" xfId="0" applyNumberFormat="1" applyFont="1" applyFill="1" applyBorder="1" applyAlignment="1">
      <alignment horizontal="center" vertical="center"/>
    </xf>
    <xf numFmtId="49" fontId="32" fillId="8" borderId="1" xfId="0" applyNumberFormat="1" applyFont="1" applyFill="1" applyBorder="1"/>
    <xf numFmtId="2" fontId="31" fillId="3" borderId="1" xfId="0" applyNumberFormat="1" applyFont="1" applyFill="1" applyBorder="1"/>
    <xf numFmtId="164" fontId="31" fillId="3" borderId="1" xfId="0" applyNumberFormat="1" applyFont="1" applyFill="1" applyBorder="1"/>
    <xf numFmtId="0" fontId="31" fillId="0" borderId="1" xfId="0" applyFont="1" applyBorder="1"/>
    <xf numFmtId="2" fontId="31" fillId="0" borderId="1" xfId="0" applyNumberFormat="1" applyFont="1" applyBorder="1"/>
    <xf numFmtId="0" fontId="31" fillId="0" borderId="13" xfId="0" applyFont="1" applyBorder="1"/>
    <xf numFmtId="0" fontId="31" fillId="0" borderId="1" xfId="0" applyFont="1" applyBorder="1" applyAlignment="1">
      <alignment horizontal="center"/>
    </xf>
    <xf numFmtId="21" fontId="31" fillId="0" borderId="1" xfId="0" applyNumberFormat="1" applyFont="1" applyBorder="1"/>
    <xf numFmtId="0" fontId="32" fillId="15" borderId="37" xfId="0" applyFont="1" applyFill="1" applyBorder="1" applyAlignment="1">
      <alignment horizontal="center"/>
    </xf>
    <xf numFmtId="0" fontId="32" fillId="15" borderId="8" xfId="0" applyFont="1" applyFill="1" applyBorder="1" applyAlignment="1">
      <alignment horizontal="center"/>
    </xf>
    <xf numFmtId="0" fontId="32" fillId="15" borderId="38" xfId="0" applyFont="1" applyFill="1" applyBorder="1" applyAlignment="1">
      <alignment horizontal="center"/>
    </xf>
    <xf numFmtId="0" fontId="35" fillId="8" borderId="1" xfId="0" applyFont="1" applyFill="1" applyBorder="1" applyAlignment="1">
      <alignment horizontal="center" vertical="center"/>
    </xf>
    <xf numFmtId="8" fontId="31" fillId="0" borderId="1" xfId="0" applyNumberFormat="1" applyFont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6" fontId="31" fillId="0" borderId="1" xfId="0" applyNumberFormat="1" applyFont="1" applyBorder="1" applyAlignment="1">
      <alignment horizontal="center"/>
    </xf>
    <xf numFmtId="10" fontId="32" fillId="15" borderId="16" xfId="0" applyNumberFormat="1" applyFont="1" applyFill="1" applyBorder="1" applyAlignment="1">
      <alignment horizontal="center"/>
    </xf>
    <xf numFmtId="9" fontId="32" fillId="15" borderId="17" xfId="0" applyNumberFormat="1" applyFont="1" applyFill="1" applyBorder="1" applyAlignment="1">
      <alignment horizontal="center"/>
    </xf>
    <xf numFmtId="10" fontId="32" fillId="15" borderId="17" xfId="0" applyNumberFormat="1" applyFont="1" applyFill="1" applyBorder="1" applyAlignment="1">
      <alignment horizontal="center"/>
    </xf>
    <xf numFmtId="10" fontId="32" fillId="15" borderId="18" xfId="0" applyNumberFormat="1" applyFont="1" applyFill="1" applyBorder="1" applyAlignment="1">
      <alignment horizontal="center"/>
    </xf>
    <xf numFmtId="0" fontId="35" fillId="0" borderId="3" xfId="0" applyFont="1" applyBorder="1" applyAlignment="1">
      <alignment horizontal="centerContinuous"/>
    </xf>
    <xf numFmtId="0" fontId="31" fillId="0" borderId="6" xfId="0" applyFont="1" applyBorder="1" applyAlignment="1">
      <alignment horizontal="centerContinuous"/>
    </xf>
    <xf numFmtId="0" fontId="33" fillId="0" borderId="6" xfId="0" applyFont="1" applyBorder="1" applyAlignment="1">
      <alignment horizontal="centerContinuous"/>
    </xf>
    <xf numFmtId="0" fontId="33" fillId="0" borderId="7" xfId="0" applyFont="1" applyBorder="1" applyAlignment="1">
      <alignment horizontal="centerContinuous"/>
    </xf>
    <xf numFmtId="0" fontId="32" fillId="14" borderId="37" xfId="0" applyFont="1" applyFill="1" applyBorder="1" applyAlignment="1">
      <alignment horizontal="center"/>
    </xf>
    <xf numFmtId="0" fontId="32" fillId="14" borderId="8" xfId="0" applyFont="1" applyFill="1" applyBorder="1" applyAlignment="1">
      <alignment horizontal="center"/>
    </xf>
    <xf numFmtId="0" fontId="32" fillId="14" borderId="38" xfId="0" applyFont="1" applyFill="1" applyBorder="1" applyAlignment="1">
      <alignment horizontal="center"/>
    </xf>
    <xf numFmtId="10" fontId="32" fillId="14" borderId="16" xfId="0" applyNumberFormat="1" applyFont="1" applyFill="1" applyBorder="1" applyAlignment="1">
      <alignment horizontal="center"/>
    </xf>
    <xf numFmtId="9" fontId="32" fillId="14" borderId="17" xfId="0" applyNumberFormat="1" applyFont="1" applyFill="1" applyBorder="1" applyAlignment="1">
      <alignment horizontal="center"/>
    </xf>
    <xf numFmtId="10" fontId="32" fillId="14" borderId="17" xfId="0" applyNumberFormat="1" applyFont="1" applyFill="1" applyBorder="1" applyAlignment="1">
      <alignment horizontal="center"/>
    </xf>
    <xf numFmtId="10" fontId="32" fillId="14" borderId="18" xfId="0" applyNumberFormat="1" applyFont="1" applyFill="1" applyBorder="1" applyAlignment="1">
      <alignment horizontal="center"/>
    </xf>
    <xf numFmtId="8" fontId="35" fillId="0" borderId="1" xfId="0" applyNumberFormat="1" applyFont="1" applyBorder="1" applyAlignment="1">
      <alignment horizontal="center" vertical="center"/>
    </xf>
    <xf numFmtId="0" fontId="31" fillId="3" borderId="1" xfId="0" applyFont="1" applyFill="1" applyBorder="1"/>
    <xf numFmtId="0" fontId="31" fillId="0" borderId="4" xfId="0" applyFont="1" applyBorder="1"/>
    <xf numFmtId="0" fontId="31" fillId="0" borderId="14" xfId="0" applyFont="1" applyBorder="1"/>
    <xf numFmtId="44" fontId="31" fillId="0" borderId="15" xfId="1" applyFont="1" applyBorder="1"/>
    <xf numFmtId="0" fontId="32" fillId="8" borderId="12" xfId="0" applyFont="1" applyFill="1" applyBorder="1"/>
    <xf numFmtId="0" fontId="32" fillId="8" borderId="13" xfId="0" applyFont="1" applyFill="1" applyBorder="1"/>
    <xf numFmtId="0" fontId="31" fillId="0" borderId="0" xfId="0" applyFont="1" applyAlignment="1">
      <alignment horizontal="center"/>
    </xf>
    <xf numFmtId="0" fontId="31" fillId="0" borderId="33" xfId="0" applyFont="1" applyBorder="1"/>
    <xf numFmtId="0" fontId="31" fillId="0" borderId="0" xfId="0" applyFont="1" applyBorder="1"/>
    <xf numFmtId="44" fontId="31" fillId="0" borderId="39" xfId="1" applyFont="1" applyBorder="1"/>
    <xf numFmtId="0" fontId="32" fillId="8" borderId="1" xfId="0" applyFont="1" applyFill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35" fillId="0" borderId="3" xfId="0" applyFont="1" applyBorder="1"/>
    <xf numFmtId="0" fontId="35" fillId="0" borderId="6" xfId="0" applyFont="1" applyBorder="1"/>
    <xf numFmtId="44" fontId="35" fillId="0" borderId="7" xfId="0" applyNumberFormat="1" applyFont="1" applyBorder="1"/>
    <xf numFmtId="0" fontId="31" fillId="3" borderId="0" xfId="0" applyFont="1" applyFill="1"/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zoomScale="120" zoomScaleNormal="120" workbookViewId="0">
      <selection activeCell="E25" sqref="E25"/>
    </sheetView>
  </sheetViews>
  <sheetFormatPr defaultRowHeight="16.2" x14ac:dyDescent="0.35"/>
  <cols>
    <col min="1" max="1" width="20.5546875" style="82" bestFit="1" customWidth="1"/>
    <col min="2" max="2" width="9.21875" style="82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0" width="7.88671875" style="82" bestFit="1" customWidth="1"/>
    <col min="11" max="11" width="7" style="82" bestFit="1" customWidth="1"/>
    <col min="12" max="12" width="5.21875" style="82" bestFit="1" customWidth="1"/>
    <col min="13" max="13" width="12.77734375" style="113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9.6640625" style="82" bestFit="1" customWidth="1"/>
    <col min="20" max="20" width="15.77734375" style="82" bestFit="1" customWidth="1"/>
    <col min="21" max="21" width="13.6640625" style="82" bestFit="1" customWidth="1"/>
    <col min="22" max="23" width="8.77734375" style="82" bestFit="1" customWidth="1"/>
    <col min="24" max="24" width="14.33203125" style="82" bestFit="1" customWidth="1"/>
    <col min="25" max="28" width="8.77734375" style="82" bestFit="1" customWidth="1"/>
    <col min="29" max="31" width="9.6640625" style="82" bestFit="1" customWidth="1"/>
    <col min="32" max="32" width="16.6640625" style="82" customWidth="1"/>
    <col min="33" max="33" width="12.33203125" style="82" bestFit="1" customWidth="1"/>
    <col min="34" max="34" width="13.33203125" style="82" bestFit="1" customWidth="1"/>
    <col min="35" max="35" width="8.5546875" style="82" bestFit="1" customWidth="1"/>
    <col min="36" max="36" width="7.33203125" style="82" bestFit="1" customWidth="1"/>
    <col min="37" max="37" width="12.109375" bestFit="1" customWidth="1"/>
    <col min="38" max="38" width="16" bestFit="1" customWidth="1"/>
    <col min="39" max="39" width="7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0" t="s">
        <v>115</v>
      </c>
      <c r="B1" s="100" t="s">
        <v>114</v>
      </c>
      <c r="C1" s="100" t="s">
        <v>72</v>
      </c>
      <c r="D1" s="101" t="s">
        <v>112</v>
      </c>
      <c r="E1" s="104" t="s">
        <v>113</v>
      </c>
      <c r="F1" s="173" t="s">
        <v>167</v>
      </c>
      <c r="G1" s="174"/>
      <c r="H1" s="175"/>
      <c r="M1" s="134" t="s">
        <v>199</v>
      </c>
      <c r="AZ1" s="1" t="s">
        <v>193</v>
      </c>
    </row>
    <row r="2" spans="1:60" ht="16.8" thickBot="1" x14ac:dyDescent="0.4">
      <c r="A2" s="140">
        <v>0.18</v>
      </c>
      <c r="B2" s="140">
        <v>0.02</v>
      </c>
      <c r="C2" s="84">
        <v>0.38</v>
      </c>
      <c r="D2" s="102">
        <v>11.4</v>
      </c>
      <c r="E2" s="105" t="s">
        <v>92</v>
      </c>
      <c r="F2" s="176" t="s">
        <v>168</v>
      </c>
      <c r="G2" s="177"/>
      <c r="H2" s="107">
        <f>SUM(M14:M200)</f>
        <v>0</v>
      </c>
      <c r="M2" s="135" t="s">
        <v>200</v>
      </c>
    </row>
    <row r="3" spans="1:60" ht="16.8" thickBot="1" x14ac:dyDescent="0.4">
      <c r="A3" s="141" t="s">
        <v>205</v>
      </c>
      <c r="B3" s="142"/>
      <c r="F3" s="171" t="s">
        <v>169</v>
      </c>
      <c r="G3" s="172"/>
      <c r="H3" s="106">
        <f>SUM(Q14:Q19)</f>
        <v>0</v>
      </c>
    </row>
    <row r="4" spans="1:60" ht="16.2" customHeight="1" thickBot="1" x14ac:dyDescent="0.4">
      <c r="A4" s="143" t="s">
        <v>221</v>
      </c>
      <c r="F4" s="176" t="s">
        <v>170</v>
      </c>
      <c r="G4" s="177"/>
      <c r="H4" s="108">
        <f>D2</f>
        <v>11.4</v>
      </c>
    </row>
    <row r="5" spans="1:60" ht="16.2" customHeight="1" thickBot="1" x14ac:dyDescent="0.4">
      <c r="A5" s="110"/>
      <c r="F5" s="178" t="s">
        <v>171</v>
      </c>
      <c r="G5" s="179"/>
      <c r="H5" s="109">
        <f>IFERROR(SUMPRODUCT(AG14:AG217, M14:M217) / SUM(Q14:Q217),0)</f>
        <v>0</v>
      </c>
      <c r="I5" s="114"/>
      <c r="J5" s="114"/>
      <c r="K5" s="114"/>
      <c r="L5" s="114"/>
      <c r="M5" s="115"/>
    </row>
    <row r="6" spans="1:60" ht="16.2" customHeight="1" thickBot="1" x14ac:dyDescent="0.4">
      <c r="F6" s="176" t="s">
        <v>183</v>
      </c>
      <c r="G6" s="177"/>
      <c r="H6" s="112">
        <f>I6</f>
        <v>0</v>
      </c>
      <c r="I6" s="165">
        <f>J6/1440</f>
        <v>0</v>
      </c>
      <c r="J6" s="166">
        <f>IF(M2="ESTUDO",SUM(BH14:BH200),SUM(N14:N200))</f>
        <v>0</v>
      </c>
      <c r="K6" s="167"/>
      <c r="L6" s="114"/>
      <c r="M6" s="115"/>
    </row>
    <row r="7" spans="1:60" ht="16.2" customHeight="1" thickBot="1" x14ac:dyDescent="0.4">
      <c r="F7" s="171" t="s">
        <v>184</v>
      </c>
      <c r="G7" s="172"/>
      <c r="H7" s="111">
        <f>I7</f>
        <v>0</v>
      </c>
      <c r="I7" s="165">
        <f>J7/1440</f>
        <v>0</v>
      </c>
      <c r="J7" s="166">
        <f>K7+AUXILIAR!AK3</f>
        <v>0</v>
      </c>
      <c r="K7" s="166">
        <f>SUM(O14:O200)</f>
        <v>0</v>
      </c>
      <c r="L7" s="114"/>
      <c r="M7" s="115"/>
    </row>
    <row r="8" spans="1:60" ht="16.2" customHeight="1" x14ac:dyDescent="0.35">
      <c r="A8" s="168" t="s">
        <v>162</v>
      </c>
      <c r="B8" s="168"/>
      <c r="C8" s="168"/>
      <c r="D8" s="169" t="s">
        <v>163</v>
      </c>
      <c r="E8" s="169"/>
      <c r="F8" s="169"/>
      <c r="G8" s="169"/>
      <c r="H8" s="169"/>
      <c r="I8" s="169"/>
      <c r="J8" s="169"/>
      <c r="K8" s="169"/>
      <c r="L8" s="169"/>
      <c r="M8" s="169"/>
      <c r="N8" s="169"/>
      <c r="O8" s="169"/>
      <c r="P8" s="169"/>
      <c r="Q8" s="103"/>
      <c r="R8" s="103"/>
      <c r="S8" s="103"/>
      <c r="T8" s="103"/>
      <c r="U8" s="103"/>
      <c r="V8" s="103"/>
      <c r="W8" s="103"/>
      <c r="X8" s="103"/>
    </row>
    <row r="9" spans="1:60" ht="16.2" customHeight="1" x14ac:dyDescent="0.35">
      <c r="A9" s="168"/>
      <c r="B9" s="168"/>
      <c r="C9" s="168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70" t="s">
        <v>165</v>
      </c>
      <c r="R9" s="170"/>
      <c r="S9" s="180">
        <v>46026</v>
      </c>
      <c r="T9" s="181"/>
      <c r="U9" s="103"/>
      <c r="V9" s="103"/>
      <c r="W9" s="103"/>
      <c r="X9" s="103"/>
    </row>
    <row r="10" spans="1:60" ht="16.2" customHeight="1" x14ac:dyDescent="0.35">
      <c r="A10" s="168"/>
      <c r="B10" s="168"/>
      <c r="C10" s="168"/>
      <c r="D10" s="182" t="s">
        <v>164</v>
      </c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70" t="s">
        <v>166</v>
      </c>
      <c r="R10" s="170"/>
      <c r="S10" s="181">
        <v>2807</v>
      </c>
      <c r="T10" s="181"/>
      <c r="U10" s="103"/>
      <c r="V10" s="103"/>
      <c r="W10" s="103"/>
      <c r="X10" s="103"/>
    </row>
    <row r="11" spans="1:60" s="83" customFormat="1" ht="13.8" customHeight="1" x14ac:dyDescent="0.3">
      <c r="A11" s="168"/>
      <c r="B11" s="168"/>
      <c r="C11" s="168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03"/>
      <c r="R11" s="103"/>
      <c r="S11" s="103"/>
      <c r="T11" s="103"/>
      <c r="U11" s="103"/>
      <c r="V11" s="103"/>
      <c r="W11" s="103"/>
      <c r="X11" s="103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13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160" customFormat="1" ht="20.399999999999999" customHeight="1" x14ac:dyDescent="0.25">
      <c r="A13" s="133" t="s">
        <v>96</v>
      </c>
      <c r="B13" s="133" t="s">
        <v>97</v>
      </c>
      <c r="C13" s="133" t="s">
        <v>98</v>
      </c>
      <c r="D13" s="133" t="s">
        <v>99</v>
      </c>
      <c r="E13" s="133" t="s">
        <v>100</v>
      </c>
      <c r="F13" s="133" t="s">
        <v>101</v>
      </c>
      <c r="G13" s="133" t="s">
        <v>94</v>
      </c>
      <c r="H13" s="133" t="s">
        <v>102</v>
      </c>
      <c r="I13" s="133" t="s">
        <v>103</v>
      </c>
      <c r="J13" s="133" t="s">
        <v>104</v>
      </c>
      <c r="K13" s="133" t="s">
        <v>95</v>
      </c>
      <c r="L13" s="133" t="s">
        <v>110</v>
      </c>
      <c r="M13" s="133" t="s">
        <v>111</v>
      </c>
      <c r="N13" s="133" t="s">
        <v>185</v>
      </c>
      <c r="O13" s="133" t="s">
        <v>186</v>
      </c>
      <c r="P13" s="133" t="s">
        <v>116</v>
      </c>
      <c r="Q13" s="133" t="s">
        <v>117</v>
      </c>
      <c r="R13" s="133" t="s">
        <v>82</v>
      </c>
      <c r="S13" s="157" t="s">
        <v>112</v>
      </c>
      <c r="T13" s="161" t="s">
        <v>119</v>
      </c>
      <c r="U13" s="161" t="s">
        <v>120</v>
      </c>
      <c r="V13" s="161" t="s">
        <v>121</v>
      </c>
      <c r="W13" s="161" t="s">
        <v>83</v>
      </c>
      <c r="X13" s="161" t="s">
        <v>84</v>
      </c>
      <c r="Y13" s="161" t="s">
        <v>85</v>
      </c>
      <c r="Z13" s="161" t="s">
        <v>86</v>
      </c>
      <c r="AA13" s="161" t="s">
        <v>87</v>
      </c>
      <c r="AB13" s="161" t="s">
        <v>88</v>
      </c>
      <c r="AC13" s="161" t="s">
        <v>89</v>
      </c>
      <c r="AD13" s="161" t="s">
        <v>90</v>
      </c>
      <c r="AE13" s="161" t="s">
        <v>91</v>
      </c>
      <c r="AF13" s="161" t="s">
        <v>161</v>
      </c>
      <c r="AG13" s="162" t="s">
        <v>122</v>
      </c>
      <c r="AH13" s="162" t="s">
        <v>123</v>
      </c>
      <c r="AI13" s="162" t="s">
        <v>124</v>
      </c>
      <c r="AJ13" s="164" t="s">
        <v>125</v>
      </c>
      <c r="AK13" s="164" t="s">
        <v>126</v>
      </c>
      <c r="AL13" s="164" t="s">
        <v>127</v>
      </c>
      <c r="AM13" s="163" t="s">
        <v>93</v>
      </c>
      <c r="AN13" s="133" t="s">
        <v>128</v>
      </c>
      <c r="AO13" s="133" t="s">
        <v>71</v>
      </c>
      <c r="AP13" s="133" t="s">
        <v>72</v>
      </c>
      <c r="AQ13" s="133" t="s">
        <v>129</v>
      </c>
      <c r="AR13" s="158" t="s">
        <v>160</v>
      </c>
      <c r="AS13" s="158" t="s">
        <v>105</v>
      </c>
      <c r="AT13" s="158" t="s">
        <v>106</v>
      </c>
      <c r="AU13" s="158" t="s">
        <v>108</v>
      </c>
      <c r="AV13" s="158" t="s">
        <v>107</v>
      </c>
      <c r="AW13" s="158" t="s">
        <v>109</v>
      </c>
      <c r="AX13" s="158" t="s">
        <v>188</v>
      </c>
      <c r="AY13" s="158" t="s">
        <v>187</v>
      </c>
      <c r="AZ13" s="158" t="s">
        <v>189</v>
      </c>
      <c r="BA13" s="158" t="s">
        <v>190</v>
      </c>
      <c r="BB13" s="158" t="s">
        <v>191</v>
      </c>
      <c r="BC13" s="158" t="s">
        <v>192</v>
      </c>
      <c r="BD13" s="159" t="s">
        <v>194</v>
      </c>
      <c r="BE13" s="159" t="s">
        <v>195</v>
      </c>
      <c r="BF13" s="159" t="s">
        <v>196</v>
      </c>
      <c r="BG13" s="159" t="s">
        <v>197</v>
      </c>
      <c r="BH13" s="159" t="s">
        <v>198</v>
      </c>
    </row>
    <row r="14" spans="1:60" ht="16.2" customHeight="1" x14ac:dyDescent="0.35">
      <c r="A14" s="117"/>
      <c r="B14" s="117"/>
      <c r="C14" s="117"/>
      <c r="D14" s="117"/>
      <c r="E14" s="118"/>
      <c r="F14" s="118"/>
      <c r="G14" s="118"/>
      <c r="H14" s="119"/>
      <c r="I14" s="119"/>
      <c r="J14" s="117"/>
      <c r="K14" s="120">
        <v>1200</v>
      </c>
      <c r="L14" s="121" t="str">
        <f>IFERROR((AS14*G14*7.85)/1000000,"0")</f>
        <v>0</v>
      </c>
      <c r="M14" s="122">
        <f>IFERROR(L14*C14,"0")</f>
        <v>0</v>
      </c>
      <c r="N14" s="123">
        <f t="shared" ref="N14:N45" si="0">IFERROR((AU14/AX14)+BC14,0)</f>
        <v>0</v>
      </c>
      <c r="O14" s="123">
        <f>IF(L14="",0,IFERROR(IF($M$2="ESTUDO",BH14,N14)+INDEX(AUXILIAR!$AO$3:$AO$8,MATCH(L14,{0;2;5;10;20;50},1))*1440,IF(M14="ESTUDO",BH14,N14)))</f>
        <v>0</v>
      </c>
      <c r="P14" s="124">
        <f t="shared" ref="P14:P45" si="1">IFERROR(Q14/C14,0)</f>
        <v>0</v>
      </c>
      <c r="Q14" s="124">
        <f t="shared" ref="Q14:Q45" si="2">IFERROR($D$2 * ROUND(M14, 2), 0)</f>
        <v>0</v>
      </c>
      <c r="R14" s="125" t="s">
        <v>0</v>
      </c>
      <c r="S14" s="126">
        <f t="shared" ref="S14:S45" si="3">IF(A14="",0,$D$2)</f>
        <v>0</v>
      </c>
      <c r="T14" s="124">
        <f>((AM14/(1+AUXILIAR!$BJ$4))-((AM14/(1+AUXILIAR!$BJ$4))*AUXILIAR!$BK$4))-(((AM14/(1+AUXILIAR!$BJ$4))-((AM14/(1+AUXILIAR!$BJ$4))*AUXILIAR!$BK$4))*((AUXILIAR!$BL$4+AUXILIAR!$BM$4)))</f>
        <v>0</v>
      </c>
      <c r="U14" s="124">
        <f>((S14/(1+AUXILIAR!$BJ$7))-((S14/(1+AUXILIAR!$BJ$7))*AUXILIAR!$BK$7))-(((S14/(1+AUXILIAR!$BJ$7))-((S14/(1+AUXILIAR!$BJ$7))*AUXILIAR!$BK$7))*((AUXILIAR!$BL$7+AUXILIAR!$BM$7)))</f>
        <v>0</v>
      </c>
      <c r="V14" s="127">
        <f>AM14-(AM14/(1+AUXILIAR!$BJ$4))</f>
        <v>0</v>
      </c>
      <c r="W14" s="127">
        <f>(AM14-V14)*AUXILIAR!$BK$4</f>
        <v>0</v>
      </c>
      <c r="X14" s="127">
        <f>(AM14-V14-W14)*(AUXILIAR!$BL$4+AUXILIAR!$BM$4)</f>
        <v>0</v>
      </c>
      <c r="Y14" s="127">
        <f>X14-(X14/(1+AUXILIAR!$BJ$7))</f>
        <v>0</v>
      </c>
      <c r="Z14" s="127">
        <f>(S14-Y14)*AUXILIAR!$BK$7</f>
        <v>0</v>
      </c>
      <c r="AA14" s="127">
        <f>(S14-Y14-Z14)*(AUXILIAR!$BL$7+AUXILIAR!$BM$7)</f>
        <v>0</v>
      </c>
      <c r="AB14" s="128">
        <f t="shared" ref="AB14:AB45" si="4">V14-Y14</f>
        <v>0</v>
      </c>
      <c r="AC14" s="128">
        <f t="shared" ref="AC14:AC45" si="5">W14-Z14</f>
        <v>0</v>
      </c>
      <c r="AD14" s="128">
        <f t="shared" ref="AD14:AD45" si="6">X14-AA14</f>
        <v>0</v>
      </c>
      <c r="AE14" s="128">
        <f>AB14+AC14+AD14</f>
        <v>0</v>
      </c>
      <c r="AF14" s="128">
        <f t="shared" ref="AF14:AF45" si="7">IFERROR(S14*M14,0)</f>
        <v>0</v>
      </c>
      <c r="AG14" s="127">
        <f t="shared" ref="AG14:AG45" si="8">IFERROR((S14-AM14+AE14-AO14-AP14-AQ14-AL14),0)</f>
        <v>-1</v>
      </c>
      <c r="AH14" s="124">
        <f>IFERROR(AG14*M14,0)</f>
        <v>0</v>
      </c>
      <c r="AI14" s="129">
        <f>IFERROR(AG14/S14,0)</f>
        <v>0</v>
      </c>
      <c r="AJ14" s="124">
        <f>IF(G14="",0,(AM14+AL14+AQ14+AP14+AO14+AN14))</f>
        <v>0</v>
      </c>
      <c r="AK14" s="124">
        <f>IFERROR(AJ14*M14,0)</f>
        <v>0</v>
      </c>
      <c r="AL14" s="124">
        <f>AUXILIAR!$BM$12</f>
        <v>1</v>
      </c>
      <c r="AM14" s="124">
        <f>IF($E$2="XADREZ",
     IFERROR(VLOOKUP(G14,AUXILIAR!AB:AC,2,TRUE),0),
     IF(AC11="SIM", 0, IFERROR(VLOOKUP(G14,AUXILIAR!AB:AC,2,TRUE),0))
)</f>
        <v>0</v>
      </c>
      <c r="AN14" s="124">
        <f>ABS(AE14)</f>
        <v>0</v>
      </c>
      <c r="AO14" s="124">
        <f t="shared" ref="AO14:AO45" si="9">IFERROR(S14*$B$2,0)</f>
        <v>0</v>
      </c>
      <c r="AP14" s="124">
        <f t="shared" ref="AP14:AP45" si="10">IF(G14="",0,$C$2)</f>
        <v>0</v>
      </c>
      <c r="AQ14" s="124">
        <f>IFERROR(INDEX(AUXILIAR!$AG$3:$AG$28,MATCH(G14,AUXILIAR!$AH$3:$AH$28,1))*AM14,0)</f>
        <v>0</v>
      </c>
      <c r="AR14" s="130" t="str">
        <f>IF(R14="GUILHOTINA",IFERROR(VLOOKUP(G14,AUXILIAR!$Q:$S,3,FALSE),""),IF(R14="LASER",IFERROR(VLOOKUP(G14,AUXILIAR!$E:$I,3,FALSE),""),IF(R14="PLASMA",IFERROR(VLOOKUP(G14,AUXILIAR!$K:$O,3,FALSE),""),"")))</f>
        <v/>
      </c>
      <c r="AS14" s="131" t="str">
        <f t="shared" ref="AS14:AS45" si="11">IF(OR(D14="Q",D14="R"),(H14*I14),IF(D14="T",(H14*I14)/2,IF(D14="TP",((H14+I14)*J14)/2,IF(D14="C",PI()*((H14/2)^2),""))))</f>
        <v/>
      </c>
      <c r="AT14" s="131" t="str">
        <f t="shared" ref="AT14:AT45" si="12">IFERROR(AS14*C14,"")</f>
        <v/>
      </c>
      <c r="AU14" s="131" t="str">
        <f t="shared" ref="AU14:AU45" si="13">IFERROR(AV14*C14,"")</f>
        <v/>
      </c>
      <c r="AV14" s="131" t="str">
        <f t="shared" ref="AV14:AV45" si="14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131" t="str">
        <f t="shared" ref="AW14:AW45" si="15">IFERROR(AV14*C14,"")</f>
        <v/>
      </c>
      <c r="AX14" s="131">
        <f>IFERROR(
IF($R14="LASER",
   VLOOKUP($G14,AUXILIAR!$E$3:$G$27,3,FALSE),
IF($R14="PLASMA",
   VLOOKUP($G14,AUXILIAR!$K$6:$M$28,3,FALSE),
0)),
0)</f>
        <v>0</v>
      </c>
      <c r="AY14" s="131">
        <f t="shared" ref="AY14:AY45" si="16">IF(OR(E14=0,F14=0),0,PI()*F14*E14)</f>
        <v>0</v>
      </c>
      <c r="AZ14" s="131">
        <f t="shared" ref="AZ14:AZ45" si="17">IFERROR(
IF(OR(E14=0,F14=0),0,
   IF($R14="LASER",
      IF($F14&lt;=$G14*1.5,$AX14*0.7,$AX14),
   IF($R14="PLASMA",
      IF($F14&lt;=$G14*2,$AX14*0.5,$AX14),
   0))),
0)</f>
        <v>0</v>
      </c>
      <c r="BA14" s="132">
        <f t="shared" ref="BA14:BA45" si="18">IFERROR(IF($AY14=0,0,$AY14/$AZ14),0)</f>
        <v>0</v>
      </c>
      <c r="BB14" s="132">
        <f t="shared" ref="BB14:BB45" si="19">IF(OR(E14=0,F14=0),0,
 IF(F14&lt;=4.75,5/60,
 IF(F14&lt;=9.5,7/60,
 10/60)))</f>
        <v>0</v>
      </c>
      <c r="BC14" s="132">
        <f t="shared" ref="BC14:BC45" si="20">IF(OR(E14=0,F14=0),0,$BA14+($BB14*$E14))</f>
        <v>0</v>
      </c>
      <c r="BD14" s="132">
        <f t="shared" ref="BD14:BD21" si="21">IF(OR(AW14="",ISBLANK(AW14)),0,IF(AV14&lt;=400,0.35,IF(AV14&lt;=800,0.45,IF(AV14&lt;=1500,0.6,IF(AV14&lt;=3000,0.75,0.85)))))</f>
        <v>0</v>
      </c>
      <c r="BE14" s="131">
        <f>AX14*BD14</f>
        <v>0</v>
      </c>
      <c r="BF14" s="123">
        <f>(
1+E14
)*
IF(G14&lt;=1.5,0.6/60,
IF(G14&lt;=3,0.9/60,
IF(G14&lt;=6.35,1.5/60,
IF(G14&lt;=9.53,2.2/60,
IF(G14&lt;=12.7,3/60,4/60)))))</f>
        <v>0.01</v>
      </c>
      <c r="BG14" s="123">
        <f>IF(AV14&lt;=800,0.8/60,IF(AV14&lt;=2000,1.2/60,2/60))</f>
        <v>3.3333333333333333E-2</v>
      </c>
      <c r="BH14" s="132">
        <f>IFERROR((AU14/BE14)+BF14+BG14+BC14,0)</f>
        <v>0</v>
      </c>
    </row>
    <row r="15" spans="1:60" x14ac:dyDescent="0.35">
      <c r="A15" s="117"/>
      <c r="B15" s="117"/>
      <c r="C15" s="117"/>
      <c r="D15" s="85"/>
      <c r="E15" s="86"/>
      <c r="F15" s="86"/>
      <c r="G15" s="118"/>
      <c r="H15" s="87"/>
      <c r="I15" s="119"/>
      <c r="J15" s="85"/>
      <c r="K15" s="93">
        <v>1200</v>
      </c>
      <c r="L15" s="121" t="str">
        <f t="shared" ref="L15:L78" si="22">IFERROR((AS15*G15*7.85)/1000000,"0")</f>
        <v>0</v>
      </c>
      <c r="M15" s="122">
        <f t="shared" ref="M15:M78" si="23">IFERROR(L15*C15,"0")</f>
        <v>0</v>
      </c>
      <c r="N15" s="90">
        <f t="shared" si="0"/>
        <v>0</v>
      </c>
      <c r="O15" s="123">
        <f>IF(L15="",0,IFERROR(IF($M$2="ESTUDO",BH15,N15)+INDEX(AUXILIAR!$AO$3:$AO$8,MATCH(L15,{0;2;5;10;20;50},1))*1440,IF(M15="ESTUDO",BH15,N15)))</f>
        <v>0</v>
      </c>
      <c r="P15" s="94">
        <f t="shared" si="1"/>
        <v>0</v>
      </c>
      <c r="Q15" s="94">
        <f t="shared" si="2"/>
        <v>0</v>
      </c>
      <c r="R15" s="91" t="s">
        <v>0</v>
      </c>
      <c r="S15" s="88">
        <f t="shared" si="3"/>
        <v>0</v>
      </c>
      <c r="T15" s="94">
        <f>((AM15/(1+AUXILIAR!$BJ$4))-((AM15/(1+AUXILIAR!$BJ$4))*AUXILIAR!$BK$4))-(((AM15/(1+AUXILIAR!$BJ$4))-((AM15/(1+AUXILIAR!$BJ$4))*AUXILIAR!$BK$4))*((AUXILIAR!$BL$4+AUXILIAR!$BM$4)))</f>
        <v>0</v>
      </c>
      <c r="U15" s="94">
        <f>((S15/(1+AUXILIAR!$BJ$7))-((S15/(1+AUXILIAR!$BJ$7))*AUXILIAR!$BK$7))-(((S15/(1+AUXILIAR!$BJ$7))-((S15/(1+AUXILIAR!$BJ$7))*AUXILIAR!$BK$7))*((AUXILIAR!$BL$7+AUXILIAR!$BM$7)))</f>
        <v>0</v>
      </c>
      <c r="V15" s="96">
        <f>AM15-(AM15/(1+AUXILIAR!$BJ$4))</f>
        <v>0</v>
      </c>
      <c r="W15" s="96">
        <f>(AM15-V15)*AUXILIAR!$BK$4</f>
        <v>0</v>
      </c>
      <c r="X15" s="96">
        <f>(AM15-V15-W15)*(AUXILIAR!$BL$4+AUXILIAR!$BM$4)</f>
        <v>0</v>
      </c>
      <c r="Y15" s="96">
        <f>X15-(X15/(1+AUXILIAR!$BJ$7))</f>
        <v>0</v>
      </c>
      <c r="Z15" s="96">
        <f>(S15-Y15)*AUXILIAR!$BK$7</f>
        <v>0</v>
      </c>
      <c r="AA15" s="96">
        <f>(S15-Y15-Z15)*(AUXILIAR!$BL$7+AUXILIAR!$BM$7)</f>
        <v>0</v>
      </c>
      <c r="AB15" s="97">
        <f t="shared" si="4"/>
        <v>0</v>
      </c>
      <c r="AC15" s="97">
        <f t="shared" si="5"/>
        <v>0</v>
      </c>
      <c r="AD15" s="97">
        <f t="shared" si="6"/>
        <v>0</v>
      </c>
      <c r="AE15" s="97">
        <f t="shared" ref="AE15:AE45" si="24">AB15+AC15+AD15</f>
        <v>0</v>
      </c>
      <c r="AF15" s="97">
        <f t="shared" si="7"/>
        <v>0</v>
      </c>
      <c r="AG15" s="96">
        <f t="shared" si="8"/>
        <v>-1</v>
      </c>
      <c r="AH15" s="94">
        <f t="shared" ref="AH15:AH45" si="25">IFERROR(AG15*M15,0)</f>
        <v>0</v>
      </c>
      <c r="AI15" s="98">
        <f t="shared" ref="AI15:AI45" si="26">IFERROR(AG15/S15,0)</f>
        <v>0</v>
      </c>
      <c r="AJ15" s="94">
        <f t="shared" ref="AJ15:AJ45" si="27">IF(G15="",0,(AM15+AL15+AQ15+AP15+AO15+AN15))</f>
        <v>0</v>
      </c>
      <c r="AK15" s="94">
        <f t="shared" ref="AK15:AK45" si="28">IFERROR(AJ15*M15,0)</f>
        <v>0</v>
      </c>
      <c r="AL15" s="94">
        <f>AUXILIAR!$BM$12</f>
        <v>1</v>
      </c>
      <c r="AM15" s="94">
        <f>IF($E$2="XADREZ",
     IFERROR(VLOOKUP(G15,AUXILIAR!AB:AC,2,TRUE),0),
     IF(AC12="SIM", 0, IFERROR(VLOOKUP(G15,AUXILIAR!AB:AC,2,TRUE),0))
)</f>
        <v>0</v>
      </c>
      <c r="AN15" s="124">
        <f t="shared" ref="AN15:AN78" si="29">ABS(AE15)</f>
        <v>0</v>
      </c>
      <c r="AO15" s="94">
        <f t="shared" si="9"/>
        <v>0</v>
      </c>
      <c r="AP15" s="94">
        <f t="shared" si="10"/>
        <v>0</v>
      </c>
      <c r="AQ15" s="124">
        <f>IFERROR(INDEX(AUXILIAR!$AG$3:$AG$28,MATCH(G15,AUXILIAR!$AH$3:$AH$28,1))*AM15,0)</f>
        <v>0</v>
      </c>
      <c r="AR15" s="99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1"/>
        <v/>
      </c>
      <c r="AT15" s="89" t="str">
        <f t="shared" si="12"/>
        <v/>
      </c>
      <c r="AU15" s="89" t="str">
        <f t="shared" si="13"/>
        <v/>
      </c>
      <c r="AV15" s="89" t="str">
        <f t="shared" si="14"/>
        <v/>
      </c>
      <c r="AW15" s="89" t="str">
        <f t="shared" si="15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16"/>
        <v>0</v>
      </c>
      <c r="AZ15" s="89">
        <f t="shared" si="17"/>
        <v>0</v>
      </c>
      <c r="BA15" s="116">
        <f t="shared" si="18"/>
        <v>0</v>
      </c>
      <c r="BB15" s="116">
        <f t="shared" si="19"/>
        <v>0</v>
      </c>
      <c r="BC15" s="116">
        <f t="shared" si="20"/>
        <v>0</v>
      </c>
      <c r="BD15" s="116">
        <f t="shared" si="21"/>
        <v>0</v>
      </c>
      <c r="BE15" s="89">
        <f t="shared" ref="BE15:BE78" si="30">AX15*BD15</f>
        <v>0</v>
      </c>
      <c r="BF15" s="90">
        <f t="shared" ref="BF15:BF78" si="31">(
1+E15
)*
IF(G15&lt;=1.5,0.6/60,
IF(G15&lt;=3,0.9/60,
IF(G15&lt;=6.35,1.5/60,
IF(G15&lt;=9.53,2.2/60,
IF(G15&lt;=12.7,3/60,4/60)))))</f>
        <v>0.01</v>
      </c>
      <c r="BG15" s="90">
        <f t="shared" ref="BG15:BG78" si="32">IF(AV15&lt;=800,0.8/60,IF(AV15&lt;=2000,1.2/60,2/60))</f>
        <v>3.3333333333333333E-2</v>
      </c>
      <c r="BH15" s="116">
        <f t="shared" ref="BH15:BH78" si="33">IFERROR((AU15/BE15)+BF15+BG15+BC15,0)</f>
        <v>0</v>
      </c>
    </row>
    <row r="16" spans="1:60" x14ac:dyDescent="0.35">
      <c r="A16" s="117"/>
      <c r="B16" s="117"/>
      <c r="C16" s="117"/>
      <c r="D16" s="85"/>
      <c r="E16" s="86"/>
      <c r="F16" s="86"/>
      <c r="G16" s="118"/>
      <c r="H16" s="87"/>
      <c r="I16" s="119"/>
      <c r="J16" s="85"/>
      <c r="K16" s="93">
        <v>1200</v>
      </c>
      <c r="L16" s="121" t="str">
        <f t="shared" si="22"/>
        <v>0</v>
      </c>
      <c r="M16" s="122">
        <f t="shared" si="23"/>
        <v>0</v>
      </c>
      <c r="N16" s="90">
        <f t="shared" si="0"/>
        <v>0</v>
      </c>
      <c r="O16" s="123">
        <f>IF(L16="",0,IFERROR(IF($M$2="ESTUDO",BH16,N16)+INDEX(AUXILIAR!$AO$3:$AO$8,MATCH(L16,{0;2;5;10;20;50},1))*1440,IF(M16="ESTUDO",BH16,N16)))</f>
        <v>0</v>
      </c>
      <c r="P16" s="94">
        <f t="shared" si="1"/>
        <v>0</v>
      </c>
      <c r="Q16" s="94">
        <f t="shared" si="2"/>
        <v>0</v>
      </c>
      <c r="R16" s="91" t="s">
        <v>0</v>
      </c>
      <c r="S16" s="88">
        <f t="shared" si="3"/>
        <v>0</v>
      </c>
      <c r="T16" s="94">
        <f>((AM16/(1+AUXILIAR!$BJ$4))-((AM16/(1+AUXILIAR!$BJ$4))*AUXILIAR!$BK$4))-(((AM16/(1+AUXILIAR!$BJ$4))-((AM16/(1+AUXILIAR!$BJ$4))*AUXILIAR!$BK$4))*((AUXILIAR!$BL$4+AUXILIAR!$BM$4)))</f>
        <v>0</v>
      </c>
      <c r="U16" s="94">
        <f>((S16/(1+AUXILIAR!$BJ$7))-((S16/(1+AUXILIAR!$BJ$7))*AUXILIAR!$BK$7))-(((S16/(1+AUXILIAR!$BJ$7))-((S16/(1+AUXILIAR!$BJ$7))*AUXILIAR!$BK$7))*((AUXILIAR!$BL$7+AUXILIAR!$BM$7)))</f>
        <v>0</v>
      </c>
      <c r="V16" s="96">
        <f>AM16-(AM16/(1+AUXILIAR!$BJ$4))</f>
        <v>0</v>
      </c>
      <c r="W16" s="96">
        <f>(AM16-V16)*AUXILIAR!$BK$4</f>
        <v>0</v>
      </c>
      <c r="X16" s="96">
        <f>(AM16-V16-W16)*(AUXILIAR!$BL$4+AUXILIAR!$BM$4)</f>
        <v>0</v>
      </c>
      <c r="Y16" s="96">
        <f>X16-(X16/(1+AUXILIAR!$BJ$7))</f>
        <v>0</v>
      </c>
      <c r="Z16" s="96">
        <f>(S16-Y16)*AUXILIAR!$BK$7</f>
        <v>0</v>
      </c>
      <c r="AA16" s="96">
        <f>(S16-Y16-Z16)*(AUXILIAR!$BL$7+AUXILIAR!$BM$7)</f>
        <v>0</v>
      </c>
      <c r="AB16" s="97">
        <f t="shared" si="4"/>
        <v>0</v>
      </c>
      <c r="AC16" s="97">
        <f t="shared" si="5"/>
        <v>0</v>
      </c>
      <c r="AD16" s="97">
        <f t="shared" si="6"/>
        <v>0</v>
      </c>
      <c r="AE16" s="97">
        <f t="shared" si="24"/>
        <v>0</v>
      </c>
      <c r="AF16" s="97">
        <f t="shared" si="7"/>
        <v>0</v>
      </c>
      <c r="AG16" s="96">
        <f t="shared" si="8"/>
        <v>-1</v>
      </c>
      <c r="AH16" s="94">
        <f t="shared" si="25"/>
        <v>0</v>
      </c>
      <c r="AI16" s="98">
        <f t="shared" si="26"/>
        <v>0</v>
      </c>
      <c r="AJ16" s="94">
        <f t="shared" si="27"/>
        <v>0</v>
      </c>
      <c r="AK16" s="94">
        <f t="shared" si="28"/>
        <v>0</v>
      </c>
      <c r="AL16" s="94">
        <f>AUXILIAR!$BM$12</f>
        <v>1</v>
      </c>
      <c r="AM16" s="94">
        <f>IF($E$2="XADREZ",
     IFERROR(VLOOKUP(G16,AUXILIAR!AB:AC,2,TRUE),0),
     IF(AC13="SIM", 0, IFERROR(VLOOKUP(G16,AUXILIAR!AB:AC,2,TRUE),0))
)</f>
        <v>0</v>
      </c>
      <c r="AN16" s="124">
        <f t="shared" si="29"/>
        <v>0</v>
      </c>
      <c r="AO16" s="94">
        <f t="shared" si="9"/>
        <v>0</v>
      </c>
      <c r="AP16" s="94">
        <f t="shared" si="10"/>
        <v>0</v>
      </c>
      <c r="AQ16" s="124">
        <f>IFERROR(INDEX(AUXILIAR!$AG$3:$AG$28,MATCH(G16,AUXILIAR!$AH$3:$AH$28,1))*AM16,0)</f>
        <v>0</v>
      </c>
      <c r="AR16" s="99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1"/>
        <v/>
      </c>
      <c r="AT16" s="89" t="str">
        <f t="shared" si="12"/>
        <v/>
      </c>
      <c r="AU16" s="89" t="str">
        <f t="shared" si="13"/>
        <v/>
      </c>
      <c r="AV16" s="89" t="str">
        <f t="shared" si="14"/>
        <v/>
      </c>
      <c r="AW16" s="89" t="str">
        <f t="shared" si="15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16"/>
        <v>0</v>
      </c>
      <c r="AZ16" s="89">
        <f t="shared" si="17"/>
        <v>0</v>
      </c>
      <c r="BA16" s="116">
        <f t="shared" si="18"/>
        <v>0</v>
      </c>
      <c r="BB16" s="116">
        <f t="shared" si="19"/>
        <v>0</v>
      </c>
      <c r="BC16" s="116">
        <f t="shared" si="20"/>
        <v>0</v>
      </c>
      <c r="BD16" s="116">
        <f t="shared" si="21"/>
        <v>0</v>
      </c>
      <c r="BE16" s="89">
        <f t="shared" si="30"/>
        <v>0</v>
      </c>
      <c r="BF16" s="90">
        <f t="shared" si="31"/>
        <v>0.01</v>
      </c>
      <c r="BG16" s="90">
        <f t="shared" si="32"/>
        <v>3.3333333333333333E-2</v>
      </c>
      <c r="BH16" s="116">
        <f t="shared" si="33"/>
        <v>0</v>
      </c>
    </row>
    <row r="17" spans="1:60" x14ac:dyDescent="0.35">
      <c r="A17" s="117"/>
      <c r="B17" s="117"/>
      <c r="C17" s="117"/>
      <c r="D17" s="85"/>
      <c r="E17" s="86"/>
      <c r="F17" s="86"/>
      <c r="G17" s="118"/>
      <c r="H17" s="87"/>
      <c r="I17" s="119"/>
      <c r="J17" s="85"/>
      <c r="K17" s="93">
        <v>1200</v>
      </c>
      <c r="L17" s="121" t="str">
        <f t="shared" si="22"/>
        <v>0</v>
      </c>
      <c r="M17" s="122">
        <f t="shared" si="23"/>
        <v>0</v>
      </c>
      <c r="N17" s="90">
        <f t="shared" si="0"/>
        <v>0</v>
      </c>
      <c r="O17" s="123">
        <f>IF(L17="",0,IFERROR(IF($M$2="ESTUDO",BH17,N17)+INDEX(AUXILIAR!$AO$3:$AO$8,MATCH(L17,{0;2;5;10;20;50},1))*1440,IF(M17="ESTUDO",BH17,N17)))</f>
        <v>0</v>
      </c>
      <c r="P17" s="94">
        <f t="shared" si="1"/>
        <v>0</v>
      </c>
      <c r="Q17" s="94">
        <f t="shared" si="2"/>
        <v>0</v>
      </c>
      <c r="R17" s="91" t="s">
        <v>0</v>
      </c>
      <c r="S17" s="88">
        <f t="shared" si="3"/>
        <v>0</v>
      </c>
      <c r="T17" s="94">
        <f>((AM17/(1+AUXILIAR!$BJ$4))-((AM17/(1+AUXILIAR!$BJ$4))*AUXILIAR!$BK$4))-(((AM17/(1+AUXILIAR!$BJ$4))-((AM17/(1+AUXILIAR!$BJ$4))*AUXILIAR!$BK$4))*((AUXILIAR!$BL$4+AUXILIAR!$BM$4)))</f>
        <v>0</v>
      </c>
      <c r="U17" s="94">
        <f>((S17/(1+AUXILIAR!$BJ$7))-((S17/(1+AUXILIAR!$BJ$7))*AUXILIAR!$BK$7))-(((S17/(1+AUXILIAR!$BJ$7))-((S17/(1+AUXILIAR!$BJ$7))*AUXILIAR!$BK$7))*((AUXILIAR!$BL$7+AUXILIAR!$BM$7)))</f>
        <v>0</v>
      </c>
      <c r="V17" s="96">
        <f>AM17-(AM17/(1+AUXILIAR!$BJ$4))</f>
        <v>0</v>
      </c>
      <c r="W17" s="96">
        <f>(AM17-V17)*AUXILIAR!$BK$4</f>
        <v>0</v>
      </c>
      <c r="X17" s="96">
        <f>(AM17-V17-W17)*(AUXILIAR!$BL$4+AUXILIAR!$BM$4)</f>
        <v>0</v>
      </c>
      <c r="Y17" s="96">
        <f>X17-(X17/(1+AUXILIAR!$BJ$7))</f>
        <v>0</v>
      </c>
      <c r="Z17" s="96">
        <f>(S17-Y17)*AUXILIAR!$BK$7</f>
        <v>0</v>
      </c>
      <c r="AA17" s="96">
        <f>(S17-Y17-Z17)*(AUXILIAR!$BL$7+AUXILIAR!$BM$7)</f>
        <v>0</v>
      </c>
      <c r="AB17" s="97">
        <f t="shared" si="4"/>
        <v>0</v>
      </c>
      <c r="AC17" s="97">
        <f t="shared" si="5"/>
        <v>0</v>
      </c>
      <c r="AD17" s="97">
        <f t="shared" si="6"/>
        <v>0</v>
      </c>
      <c r="AE17" s="97">
        <f t="shared" si="24"/>
        <v>0</v>
      </c>
      <c r="AF17" s="97">
        <f t="shared" si="7"/>
        <v>0</v>
      </c>
      <c r="AG17" s="96">
        <f t="shared" si="8"/>
        <v>-1</v>
      </c>
      <c r="AH17" s="94">
        <f t="shared" si="25"/>
        <v>0</v>
      </c>
      <c r="AI17" s="98">
        <f t="shared" si="26"/>
        <v>0</v>
      </c>
      <c r="AJ17" s="94">
        <f t="shared" si="27"/>
        <v>0</v>
      </c>
      <c r="AK17" s="94">
        <f t="shared" si="28"/>
        <v>0</v>
      </c>
      <c r="AL17" s="94">
        <f>AUXILIAR!$BM$12</f>
        <v>1</v>
      </c>
      <c r="AM17" s="94">
        <f>IF($E$2="XADREZ",
     IFERROR(VLOOKUP(G17,AUXILIAR!AB:AC,2,TRUE),0),
     IF(AC14="SIM", 0, IFERROR(VLOOKUP(G17,AUXILIAR!AB:AC,2,TRUE),0))
)</f>
        <v>0</v>
      </c>
      <c r="AN17" s="124">
        <f t="shared" si="29"/>
        <v>0</v>
      </c>
      <c r="AO17" s="94">
        <f t="shared" si="9"/>
        <v>0</v>
      </c>
      <c r="AP17" s="94">
        <f t="shared" si="10"/>
        <v>0</v>
      </c>
      <c r="AQ17" s="124">
        <f>IFERROR(INDEX(AUXILIAR!$AG$3:$AG$28,MATCH(G17,AUXILIAR!$AH$3:$AH$28,1))*AM17,0)</f>
        <v>0</v>
      </c>
      <c r="AR17" s="99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1"/>
        <v/>
      </c>
      <c r="AT17" s="89" t="str">
        <f t="shared" si="12"/>
        <v/>
      </c>
      <c r="AU17" s="89" t="str">
        <f t="shared" si="13"/>
        <v/>
      </c>
      <c r="AV17" s="89" t="str">
        <f t="shared" si="14"/>
        <v/>
      </c>
      <c r="AW17" s="89" t="str">
        <f t="shared" si="15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16"/>
        <v>0</v>
      </c>
      <c r="AZ17" s="89">
        <f t="shared" si="17"/>
        <v>0</v>
      </c>
      <c r="BA17" s="116">
        <f t="shared" si="18"/>
        <v>0</v>
      </c>
      <c r="BB17" s="116">
        <f t="shared" si="19"/>
        <v>0</v>
      </c>
      <c r="BC17" s="116">
        <f t="shared" si="20"/>
        <v>0</v>
      </c>
      <c r="BD17" s="116">
        <f t="shared" si="21"/>
        <v>0</v>
      </c>
      <c r="BE17" s="89">
        <f t="shared" si="30"/>
        <v>0</v>
      </c>
      <c r="BF17" s="90">
        <f t="shared" si="31"/>
        <v>0.01</v>
      </c>
      <c r="BG17" s="90">
        <f t="shared" si="32"/>
        <v>3.3333333333333333E-2</v>
      </c>
      <c r="BH17" s="116">
        <f t="shared" si="33"/>
        <v>0</v>
      </c>
    </row>
    <row r="18" spans="1:60" x14ac:dyDescent="0.35">
      <c r="A18" s="117"/>
      <c r="B18" s="117"/>
      <c r="C18" s="117"/>
      <c r="D18" s="85"/>
      <c r="E18" s="86"/>
      <c r="F18" s="86"/>
      <c r="G18" s="118"/>
      <c r="H18" s="87"/>
      <c r="I18" s="119"/>
      <c r="J18" s="85"/>
      <c r="K18" s="93">
        <v>1200</v>
      </c>
      <c r="L18" s="121" t="str">
        <f t="shared" si="22"/>
        <v>0</v>
      </c>
      <c r="M18" s="122">
        <f t="shared" si="23"/>
        <v>0</v>
      </c>
      <c r="N18" s="90">
        <f t="shared" si="0"/>
        <v>0</v>
      </c>
      <c r="O18" s="123">
        <f>IF(L18="",0,IFERROR(IF($M$2="ESTUDO",BH18,N18)+INDEX(AUXILIAR!$AO$3:$AO$8,MATCH(L18,{0;2;5;10;20;50},1))*1440,IF(M18="ESTUDO",BH18,N18)))</f>
        <v>0</v>
      </c>
      <c r="P18" s="94">
        <f t="shared" si="1"/>
        <v>0</v>
      </c>
      <c r="Q18" s="94">
        <f t="shared" si="2"/>
        <v>0</v>
      </c>
      <c r="R18" s="91" t="s">
        <v>0</v>
      </c>
      <c r="S18" s="88">
        <f t="shared" si="3"/>
        <v>0</v>
      </c>
      <c r="T18" s="94">
        <f>((AM18/(1+AUXILIAR!$BJ$4))-((AM18/(1+AUXILIAR!$BJ$4))*AUXILIAR!$BK$4))-(((AM18/(1+AUXILIAR!$BJ$4))-((AM18/(1+AUXILIAR!$BJ$4))*AUXILIAR!$BK$4))*((AUXILIAR!$BL$4+AUXILIAR!$BM$4)))</f>
        <v>0</v>
      </c>
      <c r="U18" s="94">
        <f>((S18/(1+AUXILIAR!$BJ$7))-((S18/(1+AUXILIAR!$BJ$7))*AUXILIAR!$BK$7))-(((S18/(1+AUXILIAR!$BJ$7))-((S18/(1+AUXILIAR!$BJ$7))*AUXILIAR!$BK$7))*((AUXILIAR!$BL$7+AUXILIAR!$BM$7)))</f>
        <v>0</v>
      </c>
      <c r="V18" s="96">
        <f>AM18-(AM18/(1+AUXILIAR!$BJ$4))</f>
        <v>0</v>
      </c>
      <c r="W18" s="96">
        <f>(AM18-V18)*AUXILIAR!$BK$4</f>
        <v>0</v>
      </c>
      <c r="X18" s="96">
        <f>(AM18-V18-W18)*(AUXILIAR!$BL$4+AUXILIAR!$BM$4)</f>
        <v>0</v>
      </c>
      <c r="Y18" s="96">
        <f>X18-(X18/(1+AUXILIAR!$BJ$7))</f>
        <v>0</v>
      </c>
      <c r="Z18" s="96">
        <f>(S18-Y18)*AUXILIAR!$BK$7</f>
        <v>0</v>
      </c>
      <c r="AA18" s="96">
        <f>(S18-Y18-Z18)*(AUXILIAR!$BL$7+AUXILIAR!$BM$7)</f>
        <v>0</v>
      </c>
      <c r="AB18" s="97">
        <f t="shared" si="4"/>
        <v>0</v>
      </c>
      <c r="AC18" s="97">
        <f t="shared" si="5"/>
        <v>0</v>
      </c>
      <c r="AD18" s="97">
        <f t="shared" si="6"/>
        <v>0</v>
      </c>
      <c r="AE18" s="97">
        <f t="shared" si="24"/>
        <v>0</v>
      </c>
      <c r="AF18" s="97">
        <f t="shared" si="7"/>
        <v>0</v>
      </c>
      <c r="AG18" s="96">
        <f t="shared" si="8"/>
        <v>-1</v>
      </c>
      <c r="AH18" s="94">
        <f t="shared" si="25"/>
        <v>0</v>
      </c>
      <c r="AI18" s="98">
        <f t="shared" si="26"/>
        <v>0</v>
      </c>
      <c r="AJ18" s="94">
        <f t="shared" si="27"/>
        <v>0</v>
      </c>
      <c r="AK18" s="94">
        <f t="shared" si="28"/>
        <v>0</v>
      </c>
      <c r="AL18" s="94">
        <f>AUXILIAR!$BM$12</f>
        <v>1</v>
      </c>
      <c r="AM18" s="94">
        <f>IF($E$2="XADREZ",
     IFERROR(VLOOKUP(G18,AUXILIAR!AB:AC,2,TRUE),0),
     IF(AC15="SIM", 0, IFERROR(VLOOKUP(G18,AUXILIAR!AB:AC,2,TRUE),0))
)</f>
        <v>0</v>
      </c>
      <c r="AN18" s="124">
        <f t="shared" si="29"/>
        <v>0</v>
      </c>
      <c r="AO18" s="94">
        <f t="shared" si="9"/>
        <v>0</v>
      </c>
      <c r="AP18" s="94">
        <f t="shared" si="10"/>
        <v>0</v>
      </c>
      <c r="AQ18" s="124">
        <f>IFERROR(INDEX(AUXILIAR!$AG$3:$AG$28,MATCH(G18,AUXILIAR!$AH$3:$AH$28,1))*AM18,0)</f>
        <v>0</v>
      </c>
      <c r="AR18" s="99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1"/>
        <v/>
      </c>
      <c r="AT18" s="89" t="str">
        <f t="shared" si="12"/>
        <v/>
      </c>
      <c r="AU18" s="89" t="str">
        <f t="shared" si="13"/>
        <v/>
      </c>
      <c r="AV18" s="89" t="str">
        <f t="shared" si="14"/>
        <v/>
      </c>
      <c r="AW18" s="89" t="str">
        <f t="shared" si="15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16"/>
        <v>0</v>
      </c>
      <c r="AZ18" s="89">
        <f t="shared" si="17"/>
        <v>0</v>
      </c>
      <c r="BA18" s="116">
        <f t="shared" si="18"/>
        <v>0</v>
      </c>
      <c r="BB18" s="116">
        <f t="shared" si="19"/>
        <v>0</v>
      </c>
      <c r="BC18" s="116">
        <f t="shared" si="20"/>
        <v>0</v>
      </c>
      <c r="BD18" s="116">
        <f t="shared" si="21"/>
        <v>0</v>
      </c>
      <c r="BE18" s="89">
        <f t="shared" si="30"/>
        <v>0</v>
      </c>
      <c r="BF18" s="90">
        <f t="shared" si="31"/>
        <v>0.01</v>
      </c>
      <c r="BG18" s="90">
        <f t="shared" si="32"/>
        <v>3.3333333333333333E-2</v>
      </c>
      <c r="BH18" s="116">
        <f t="shared" si="33"/>
        <v>0</v>
      </c>
    </row>
    <row r="19" spans="1:60" ht="19.2" customHeight="1" x14ac:dyDescent="0.35">
      <c r="A19" s="117"/>
      <c r="B19" s="117"/>
      <c r="C19" s="117"/>
      <c r="D19" s="85"/>
      <c r="E19" s="86"/>
      <c r="F19" s="86"/>
      <c r="G19" s="118"/>
      <c r="H19" s="87"/>
      <c r="I19" s="119"/>
      <c r="J19" s="85"/>
      <c r="K19" s="93">
        <v>1200</v>
      </c>
      <c r="L19" s="121" t="str">
        <f t="shared" si="22"/>
        <v>0</v>
      </c>
      <c r="M19" s="122">
        <f t="shared" si="23"/>
        <v>0</v>
      </c>
      <c r="N19" s="90">
        <f t="shared" si="0"/>
        <v>0</v>
      </c>
      <c r="O19" s="123">
        <f>IF(L19="",0,IFERROR(IF($M$2="ESTUDO",BH19,N19)+INDEX(AUXILIAR!$AO$3:$AO$8,MATCH(L19,{0;2;5;10;20;50},1))*1440,IF(M19="ESTUDO",BH19,N19)))</f>
        <v>0</v>
      </c>
      <c r="P19" s="94">
        <f t="shared" si="1"/>
        <v>0</v>
      </c>
      <c r="Q19" s="94">
        <f t="shared" si="2"/>
        <v>0</v>
      </c>
      <c r="R19" s="91" t="s">
        <v>0</v>
      </c>
      <c r="S19" s="88">
        <f t="shared" si="3"/>
        <v>0</v>
      </c>
      <c r="T19" s="94">
        <f>((AM19/(1+AUXILIAR!$BJ$4))-((AM19/(1+AUXILIAR!$BJ$4))*AUXILIAR!$BK$4))-(((AM19/(1+AUXILIAR!$BJ$4))-((AM19/(1+AUXILIAR!$BJ$4))*AUXILIAR!$BK$4))*((AUXILIAR!$BL$4+AUXILIAR!$BM$4)))</f>
        <v>0</v>
      </c>
      <c r="U19" s="94">
        <f>((S19/(1+AUXILIAR!$BJ$7))-((S19/(1+AUXILIAR!$BJ$7))*AUXILIAR!$BK$7))-(((S19/(1+AUXILIAR!$BJ$7))-((S19/(1+AUXILIAR!$BJ$7))*AUXILIAR!$BK$7))*((AUXILIAR!$BL$7+AUXILIAR!$BM$7)))</f>
        <v>0</v>
      </c>
      <c r="V19" s="96">
        <f>AM19-(AM19/(1+AUXILIAR!$BJ$4))</f>
        <v>0</v>
      </c>
      <c r="W19" s="96">
        <f>(AM19-V19)*AUXILIAR!$BK$4</f>
        <v>0</v>
      </c>
      <c r="X19" s="96">
        <f>(AM19-V19-W19)*(AUXILIAR!$BL$4+AUXILIAR!$BM$4)</f>
        <v>0</v>
      </c>
      <c r="Y19" s="96">
        <f>X19-(X19/(1+AUXILIAR!$BJ$7))</f>
        <v>0</v>
      </c>
      <c r="Z19" s="96">
        <f>(S19-Y19)*AUXILIAR!$BK$7</f>
        <v>0</v>
      </c>
      <c r="AA19" s="96">
        <f>(S19-Y19-Z19)*(AUXILIAR!$BL$7+AUXILIAR!$BM$7)</f>
        <v>0</v>
      </c>
      <c r="AB19" s="97">
        <f t="shared" si="4"/>
        <v>0</v>
      </c>
      <c r="AC19" s="97">
        <f t="shared" si="5"/>
        <v>0</v>
      </c>
      <c r="AD19" s="97">
        <f t="shared" si="6"/>
        <v>0</v>
      </c>
      <c r="AE19" s="97">
        <f t="shared" si="24"/>
        <v>0</v>
      </c>
      <c r="AF19" s="97">
        <f t="shared" si="7"/>
        <v>0</v>
      </c>
      <c r="AG19" s="96">
        <f t="shared" si="8"/>
        <v>-1</v>
      </c>
      <c r="AH19" s="94">
        <f t="shared" si="25"/>
        <v>0</v>
      </c>
      <c r="AI19" s="98">
        <f t="shared" si="26"/>
        <v>0</v>
      </c>
      <c r="AJ19" s="94">
        <f t="shared" si="27"/>
        <v>0</v>
      </c>
      <c r="AK19" s="94">
        <f t="shared" si="28"/>
        <v>0</v>
      </c>
      <c r="AL19" s="94">
        <f>AUXILIAR!$BM$12</f>
        <v>1</v>
      </c>
      <c r="AM19" s="94">
        <f>IF($E$2="XADREZ",
     IFERROR(VLOOKUP(G19,AUXILIAR!AB:AC,2,TRUE),0),
     IF(AC16="SIM", 0, IFERROR(VLOOKUP(G19,AUXILIAR!AB:AC,2,TRUE),0))
)</f>
        <v>0</v>
      </c>
      <c r="AN19" s="124">
        <f t="shared" si="29"/>
        <v>0</v>
      </c>
      <c r="AO19" s="94">
        <f t="shared" si="9"/>
        <v>0</v>
      </c>
      <c r="AP19" s="94">
        <f t="shared" si="10"/>
        <v>0</v>
      </c>
      <c r="AQ19" s="124">
        <f>IFERROR(INDEX(AUXILIAR!$AG$3:$AG$28,MATCH(G19,AUXILIAR!$AH$3:$AH$28,1))*AM19,0)</f>
        <v>0</v>
      </c>
      <c r="AR19" s="99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1"/>
        <v/>
      </c>
      <c r="AT19" s="89" t="str">
        <f t="shared" si="12"/>
        <v/>
      </c>
      <c r="AU19" s="89" t="str">
        <f t="shared" si="13"/>
        <v/>
      </c>
      <c r="AV19" s="89" t="str">
        <f t="shared" si="14"/>
        <v/>
      </c>
      <c r="AW19" s="89" t="str">
        <f t="shared" si="15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16"/>
        <v>0</v>
      </c>
      <c r="AZ19" s="89">
        <f t="shared" si="17"/>
        <v>0</v>
      </c>
      <c r="BA19" s="116">
        <f t="shared" si="18"/>
        <v>0</v>
      </c>
      <c r="BB19" s="116">
        <f t="shared" si="19"/>
        <v>0</v>
      </c>
      <c r="BC19" s="116">
        <f t="shared" si="20"/>
        <v>0</v>
      </c>
      <c r="BD19" s="116">
        <f t="shared" si="21"/>
        <v>0</v>
      </c>
      <c r="BE19" s="89">
        <f t="shared" si="30"/>
        <v>0</v>
      </c>
      <c r="BF19" s="90">
        <f t="shared" si="31"/>
        <v>0.01</v>
      </c>
      <c r="BG19" s="90">
        <f t="shared" si="32"/>
        <v>3.3333333333333333E-2</v>
      </c>
      <c r="BH19" s="116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118"/>
      <c r="H20" s="87"/>
      <c r="I20" s="87"/>
      <c r="J20" s="85"/>
      <c r="K20" s="93">
        <v>1200</v>
      </c>
      <c r="L20" s="121" t="str">
        <f t="shared" si="22"/>
        <v>0</v>
      </c>
      <c r="M20" s="122">
        <f t="shared" si="23"/>
        <v>0</v>
      </c>
      <c r="N20" s="90">
        <f t="shared" si="0"/>
        <v>0</v>
      </c>
      <c r="O20" s="123">
        <f>IF(L20="",0,IFERROR(IF($M$2="ESTUDO",BH20,N20)+INDEX(AUXILIAR!$AO$3:$AO$8,MATCH(L20,{0;2;5;10;20;50},1))*1440,IF(M20="ESTUDO",BH20,N20)))</f>
        <v>0</v>
      </c>
      <c r="P20" s="94">
        <f t="shared" si="1"/>
        <v>0</v>
      </c>
      <c r="Q20" s="94">
        <f t="shared" si="2"/>
        <v>0</v>
      </c>
      <c r="R20" s="91" t="s">
        <v>0</v>
      </c>
      <c r="S20" s="88">
        <f t="shared" si="3"/>
        <v>0</v>
      </c>
      <c r="T20" s="94">
        <f>((AM20/(1+AUXILIAR!$BJ$4))-((AM20/(1+AUXILIAR!$BJ$4))*AUXILIAR!$BK$4))-(((AM20/(1+AUXILIAR!$BJ$4))-((AM20/(1+AUXILIAR!$BJ$4))*AUXILIAR!$BK$4))*((AUXILIAR!$BL$4+AUXILIAR!$BM$4)))</f>
        <v>0</v>
      </c>
      <c r="U20" s="94">
        <f>((S20/(1+AUXILIAR!$BJ$7))-((S20/(1+AUXILIAR!$BJ$7))*AUXILIAR!$BK$7))-(((S20/(1+AUXILIAR!$BJ$7))-((S20/(1+AUXILIAR!$BJ$7))*AUXILIAR!$BK$7))*((AUXILIAR!$BL$7+AUXILIAR!$BM$7)))</f>
        <v>0</v>
      </c>
      <c r="V20" s="96">
        <f>AM20-(AM20/(1+AUXILIAR!$BJ$4))</f>
        <v>0</v>
      </c>
      <c r="W20" s="96">
        <f>(AM20-V20)*AUXILIAR!$BK$4</f>
        <v>0</v>
      </c>
      <c r="X20" s="96">
        <f>(AM20-V20-W20)*(AUXILIAR!$BL$4+AUXILIAR!$BM$4)</f>
        <v>0</v>
      </c>
      <c r="Y20" s="96">
        <f>X20-(X20/(1+AUXILIAR!$BJ$7))</f>
        <v>0</v>
      </c>
      <c r="Z20" s="96">
        <f>(S20-Y20)*AUXILIAR!$BK$7</f>
        <v>0</v>
      </c>
      <c r="AA20" s="96">
        <f>(S20-Y20-Z20)*(AUXILIAR!$BL$7+AUXILIAR!$BM$7)</f>
        <v>0</v>
      </c>
      <c r="AB20" s="97">
        <f t="shared" si="4"/>
        <v>0</v>
      </c>
      <c r="AC20" s="97">
        <f t="shared" si="5"/>
        <v>0</v>
      </c>
      <c r="AD20" s="97">
        <f t="shared" si="6"/>
        <v>0</v>
      </c>
      <c r="AE20" s="97">
        <f t="shared" si="24"/>
        <v>0</v>
      </c>
      <c r="AF20" s="97">
        <f t="shared" si="7"/>
        <v>0</v>
      </c>
      <c r="AG20" s="96">
        <f t="shared" si="8"/>
        <v>-1</v>
      </c>
      <c r="AH20" s="94">
        <f t="shared" si="25"/>
        <v>0</v>
      </c>
      <c r="AI20" s="98">
        <f t="shared" si="26"/>
        <v>0</v>
      </c>
      <c r="AJ20" s="94">
        <f t="shared" si="27"/>
        <v>0</v>
      </c>
      <c r="AK20" s="94">
        <f t="shared" si="28"/>
        <v>0</v>
      </c>
      <c r="AL20" s="94">
        <f>AUXILIAR!$BM$12</f>
        <v>1</v>
      </c>
      <c r="AM20" s="94">
        <f>IF($E$2="XADREZ",
     IFERROR(VLOOKUP(G20,AUXILIAR!AB:AC,2,TRUE),0),
     IF(AC17="SIM", 0, IFERROR(VLOOKUP(G20,AUXILIAR!AB:AC,2,TRUE),0))
)</f>
        <v>0</v>
      </c>
      <c r="AN20" s="124">
        <f t="shared" si="29"/>
        <v>0</v>
      </c>
      <c r="AO20" s="94">
        <f t="shared" si="9"/>
        <v>0</v>
      </c>
      <c r="AP20" s="94">
        <f t="shared" si="10"/>
        <v>0</v>
      </c>
      <c r="AQ20" s="124">
        <f>IFERROR(INDEX(AUXILIAR!$AG$3:$AG$28,MATCH(G20,AUXILIAR!$AH$3:$AH$28,1))*AM20,0)</f>
        <v>0</v>
      </c>
      <c r="AR20" s="99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1"/>
        <v/>
      </c>
      <c r="AT20" s="89" t="str">
        <f t="shared" si="12"/>
        <v/>
      </c>
      <c r="AU20" s="89" t="str">
        <f t="shared" si="13"/>
        <v/>
      </c>
      <c r="AV20" s="89" t="str">
        <f t="shared" si="14"/>
        <v/>
      </c>
      <c r="AW20" s="89" t="str">
        <f t="shared" si="15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16"/>
        <v>0</v>
      </c>
      <c r="AZ20" s="89">
        <f t="shared" si="17"/>
        <v>0</v>
      </c>
      <c r="BA20" s="116">
        <f t="shared" si="18"/>
        <v>0</v>
      </c>
      <c r="BB20" s="116">
        <f t="shared" si="19"/>
        <v>0</v>
      </c>
      <c r="BC20" s="116">
        <f t="shared" si="20"/>
        <v>0</v>
      </c>
      <c r="BD20" s="116">
        <f t="shared" si="21"/>
        <v>0</v>
      </c>
      <c r="BE20" s="89">
        <f t="shared" si="30"/>
        <v>0</v>
      </c>
      <c r="BF20" s="90">
        <f t="shared" si="31"/>
        <v>0.01</v>
      </c>
      <c r="BG20" s="90">
        <f t="shared" si="32"/>
        <v>3.3333333333333333E-2</v>
      </c>
      <c r="BH20" s="116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118"/>
      <c r="H21" s="87"/>
      <c r="I21" s="87"/>
      <c r="J21" s="85"/>
      <c r="K21" s="93">
        <v>1200</v>
      </c>
      <c r="L21" s="121" t="str">
        <f t="shared" si="22"/>
        <v>0</v>
      </c>
      <c r="M21" s="122">
        <f t="shared" si="23"/>
        <v>0</v>
      </c>
      <c r="N21" s="90">
        <f t="shared" si="0"/>
        <v>0</v>
      </c>
      <c r="O21" s="123">
        <f>IF(L21="",0,IFERROR(IF($M$2="ESTUDO",BH21,N21)+INDEX(AUXILIAR!$AO$3:$AO$8,MATCH(L21,{0;2;5;10;20;50},1))*1440,IF(M21="ESTUDO",BH21,N21)))</f>
        <v>0</v>
      </c>
      <c r="P21" s="94">
        <f t="shared" si="1"/>
        <v>0</v>
      </c>
      <c r="Q21" s="94">
        <f t="shared" si="2"/>
        <v>0</v>
      </c>
      <c r="R21" s="91" t="s">
        <v>0</v>
      </c>
      <c r="S21" s="88">
        <f t="shared" si="3"/>
        <v>0</v>
      </c>
      <c r="T21" s="94">
        <f>((AM21/(1+AUXILIAR!$BJ$4))-((AM21/(1+AUXILIAR!$BJ$4))*AUXILIAR!$BK$4))-(((AM21/(1+AUXILIAR!$BJ$4))-((AM21/(1+AUXILIAR!$BJ$4))*AUXILIAR!$BK$4))*((AUXILIAR!$BL$4+AUXILIAR!$BM$4)))</f>
        <v>0</v>
      </c>
      <c r="U21" s="94">
        <f>((S21/(1+AUXILIAR!$BJ$7))-((S21/(1+AUXILIAR!$BJ$7))*AUXILIAR!$BK$7))-(((S21/(1+AUXILIAR!$BJ$7))-((S21/(1+AUXILIAR!$BJ$7))*AUXILIAR!$BK$7))*((AUXILIAR!$BL$7+AUXILIAR!$BM$7)))</f>
        <v>0</v>
      </c>
      <c r="V21" s="96">
        <f>AM21-(AM21/(1+AUXILIAR!$BJ$4))</f>
        <v>0</v>
      </c>
      <c r="W21" s="96">
        <f>(AM21-V21)*AUXILIAR!$BK$4</f>
        <v>0</v>
      </c>
      <c r="X21" s="96">
        <f>(AM21-V21-W21)*(AUXILIAR!$BL$4+AUXILIAR!$BM$4)</f>
        <v>0</v>
      </c>
      <c r="Y21" s="96">
        <f>X21-(X21/(1+AUXILIAR!$BJ$7))</f>
        <v>0</v>
      </c>
      <c r="Z21" s="96">
        <f>(S21-Y21)*AUXILIAR!$BK$7</f>
        <v>0</v>
      </c>
      <c r="AA21" s="96">
        <f>(S21-Y21-Z21)*(AUXILIAR!$BL$7+AUXILIAR!$BM$7)</f>
        <v>0</v>
      </c>
      <c r="AB21" s="97">
        <f t="shared" si="4"/>
        <v>0</v>
      </c>
      <c r="AC21" s="97">
        <f t="shared" si="5"/>
        <v>0</v>
      </c>
      <c r="AD21" s="97">
        <f t="shared" si="6"/>
        <v>0</v>
      </c>
      <c r="AE21" s="97">
        <f t="shared" si="24"/>
        <v>0</v>
      </c>
      <c r="AF21" s="97">
        <f t="shared" si="7"/>
        <v>0</v>
      </c>
      <c r="AG21" s="96">
        <f t="shared" si="8"/>
        <v>-1</v>
      </c>
      <c r="AH21" s="94">
        <f t="shared" si="25"/>
        <v>0</v>
      </c>
      <c r="AI21" s="98">
        <f t="shared" si="26"/>
        <v>0</v>
      </c>
      <c r="AJ21" s="94">
        <f t="shared" si="27"/>
        <v>0</v>
      </c>
      <c r="AK21" s="94">
        <f t="shared" si="28"/>
        <v>0</v>
      </c>
      <c r="AL21" s="94">
        <f>AUXILIAR!$BM$12</f>
        <v>1</v>
      </c>
      <c r="AM21" s="94">
        <f>IF($E$2="XADREZ",
     IFERROR(VLOOKUP(G21,AUXILIAR!AB:AC,2,TRUE),0),
     IF(AC18="SIM", 0, IFERROR(VLOOKUP(G21,AUXILIAR!AB:AC,2,TRUE),0))
)</f>
        <v>0</v>
      </c>
      <c r="AN21" s="124">
        <f t="shared" si="29"/>
        <v>0</v>
      </c>
      <c r="AO21" s="94">
        <f t="shared" si="9"/>
        <v>0</v>
      </c>
      <c r="AP21" s="94">
        <f t="shared" si="10"/>
        <v>0</v>
      </c>
      <c r="AQ21" s="124">
        <f>IFERROR(INDEX(AUXILIAR!$AG$3:$AG$28,MATCH(G21,AUXILIAR!$AH$3:$AH$28,1))*AM21,0)</f>
        <v>0</v>
      </c>
      <c r="AR21" s="99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1"/>
        <v/>
      </c>
      <c r="AT21" s="89" t="str">
        <f t="shared" si="12"/>
        <v/>
      </c>
      <c r="AU21" s="89" t="str">
        <f t="shared" si="13"/>
        <v/>
      </c>
      <c r="AV21" s="89" t="str">
        <f t="shared" si="14"/>
        <v/>
      </c>
      <c r="AW21" s="89" t="str">
        <f t="shared" si="15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16"/>
        <v>0</v>
      </c>
      <c r="AZ21" s="89">
        <f t="shared" si="17"/>
        <v>0</v>
      </c>
      <c r="BA21" s="116">
        <f t="shared" si="18"/>
        <v>0</v>
      </c>
      <c r="BB21" s="116">
        <f t="shared" si="19"/>
        <v>0</v>
      </c>
      <c r="BC21" s="116">
        <f t="shared" si="20"/>
        <v>0</v>
      </c>
      <c r="BD21" s="116">
        <f t="shared" si="21"/>
        <v>0</v>
      </c>
      <c r="BE21" s="89">
        <f>AX21*BD21</f>
        <v>0</v>
      </c>
      <c r="BF21" s="90">
        <f t="shared" si="31"/>
        <v>0.01</v>
      </c>
      <c r="BG21" s="90">
        <f t="shared" si="32"/>
        <v>3.3333333333333333E-2</v>
      </c>
      <c r="BH21" s="116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3">
        <v>1200</v>
      </c>
      <c r="L22" s="121" t="str">
        <f t="shared" si="22"/>
        <v>0</v>
      </c>
      <c r="M22" s="122">
        <f t="shared" si="23"/>
        <v>0</v>
      </c>
      <c r="N22" s="90">
        <f t="shared" si="0"/>
        <v>0</v>
      </c>
      <c r="O22" s="123">
        <f>IF(L22="",0,IFERROR(IF($M$2="ESTUDO",BH22,N22)+INDEX(AUXILIAR!$AO$3:$AO$8,MATCH(L22,{0;2;5;10;20;50},1))*1440,IF(M22="ESTUDO",BH22,N22)))</f>
        <v>0</v>
      </c>
      <c r="P22" s="94">
        <f t="shared" si="1"/>
        <v>0</v>
      </c>
      <c r="Q22" s="94">
        <f t="shared" si="2"/>
        <v>0</v>
      </c>
      <c r="R22" s="91" t="s">
        <v>0</v>
      </c>
      <c r="S22" s="88">
        <f t="shared" si="3"/>
        <v>0</v>
      </c>
      <c r="T22" s="94">
        <f>((AM22/(1+AUXILIAR!$BJ$4))-((AM22/(1+AUXILIAR!$BJ$4))*AUXILIAR!$BK$4))-(((AM22/(1+AUXILIAR!$BJ$4))-((AM22/(1+AUXILIAR!$BJ$4))*AUXILIAR!$BK$4))*((AUXILIAR!$BL$4+AUXILIAR!$BM$4)))</f>
        <v>0</v>
      </c>
      <c r="U22" s="94">
        <f>((S22/(1+AUXILIAR!$BJ$7))-((S22/(1+AUXILIAR!$BJ$7))*AUXILIAR!$BK$7))-(((S22/(1+AUXILIAR!$BJ$7))-((S22/(1+AUXILIAR!$BJ$7))*AUXILIAR!$BK$7))*((AUXILIAR!$BL$7+AUXILIAR!$BM$7)))</f>
        <v>0</v>
      </c>
      <c r="V22" s="96">
        <f>AM22-(AM22/(1+AUXILIAR!$BJ$4))</f>
        <v>0</v>
      </c>
      <c r="W22" s="96">
        <f>(AM22-V22)*AUXILIAR!$BK$4</f>
        <v>0</v>
      </c>
      <c r="X22" s="96">
        <f>(AM22-V22-W22)*(AUXILIAR!$BL$4+AUXILIAR!$BM$4)</f>
        <v>0</v>
      </c>
      <c r="Y22" s="96">
        <f>X22-(X22/(1+AUXILIAR!$BJ$7))</f>
        <v>0</v>
      </c>
      <c r="Z22" s="96">
        <f>(S22-Y22)*AUXILIAR!$BK$7</f>
        <v>0</v>
      </c>
      <c r="AA22" s="96">
        <f>(S22-Y22-Z22)*(AUXILIAR!$BL$7+AUXILIAR!$BM$7)</f>
        <v>0</v>
      </c>
      <c r="AB22" s="97">
        <f t="shared" si="4"/>
        <v>0</v>
      </c>
      <c r="AC22" s="97">
        <f t="shared" si="5"/>
        <v>0</v>
      </c>
      <c r="AD22" s="97">
        <f t="shared" si="6"/>
        <v>0</v>
      </c>
      <c r="AE22" s="97">
        <f t="shared" si="24"/>
        <v>0</v>
      </c>
      <c r="AF22" s="97">
        <f t="shared" si="7"/>
        <v>0</v>
      </c>
      <c r="AG22" s="96">
        <f t="shared" si="8"/>
        <v>-1</v>
      </c>
      <c r="AH22" s="94">
        <f t="shared" si="25"/>
        <v>0</v>
      </c>
      <c r="AI22" s="98">
        <f t="shared" si="26"/>
        <v>0</v>
      </c>
      <c r="AJ22" s="94">
        <f t="shared" si="27"/>
        <v>0</v>
      </c>
      <c r="AK22" s="94">
        <f t="shared" si="28"/>
        <v>0</v>
      </c>
      <c r="AL22" s="94">
        <f>AUXILIAR!$BM$12</f>
        <v>1</v>
      </c>
      <c r="AM22" s="94">
        <f>IF($E$2="XADREZ",
     IFERROR(VLOOKUP(G22,AUXILIAR!AB:AC,2,TRUE),0),
     IF(AC19="SIM", 0, IFERROR(VLOOKUP(G22,AUXILIAR!AB:AC,2,TRUE),0))
)</f>
        <v>0</v>
      </c>
      <c r="AN22" s="124">
        <f t="shared" si="29"/>
        <v>0</v>
      </c>
      <c r="AO22" s="94">
        <f t="shared" si="9"/>
        <v>0</v>
      </c>
      <c r="AP22" s="94">
        <f t="shared" si="10"/>
        <v>0</v>
      </c>
      <c r="AQ22" s="124">
        <f>IFERROR(INDEX(AUXILIAR!$AG$3:$AG$28,MATCH(G22,AUXILIAR!$AH$3:$AH$28,1))*AM22,0)</f>
        <v>0</v>
      </c>
      <c r="AR22" s="99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1"/>
        <v/>
      </c>
      <c r="AT22" s="89" t="str">
        <f t="shared" si="12"/>
        <v/>
      </c>
      <c r="AU22" s="89" t="str">
        <f t="shared" si="13"/>
        <v/>
      </c>
      <c r="AV22" s="89" t="str">
        <f t="shared" si="14"/>
        <v/>
      </c>
      <c r="AW22" s="89" t="str">
        <f t="shared" si="15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16"/>
        <v>0</v>
      </c>
      <c r="AZ22" s="89">
        <f t="shared" si="17"/>
        <v>0</v>
      </c>
      <c r="BA22" s="116">
        <f t="shared" si="18"/>
        <v>0</v>
      </c>
      <c r="BB22" s="116">
        <f t="shared" si="19"/>
        <v>0</v>
      </c>
      <c r="BC22" s="116">
        <f t="shared" si="20"/>
        <v>0</v>
      </c>
      <c r="BD22" s="116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0">
        <f t="shared" si="31"/>
        <v>0.01</v>
      </c>
      <c r="BG22" s="90">
        <f t="shared" si="32"/>
        <v>3.3333333333333333E-2</v>
      </c>
      <c r="BH22" s="116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3">
        <v>1200</v>
      </c>
      <c r="L23" s="121" t="str">
        <f t="shared" si="22"/>
        <v>0</v>
      </c>
      <c r="M23" s="122">
        <f t="shared" si="23"/>
        <v>0</v>
      </c>
      <c r="N23" s="90">
        <f t="shared" si="0"/>
        <v>0</v>
      </c>
      <c r="O23" s="123">
        <f>IF(L23="",0,IFERROR(IF($M$2="ESTUDO",BH23,N23)+INDEX(AUXILIAR!$AO$3:$AO$8,MATCH(L23,{0;2;5;10;20;50},1))*1440,IF(M23="ESTUDO",BH23,N23)))</f>
        <v>0</v>
      </c>
      <c r="P23" s="94">
        <f t="shared" si="1"/>
        <v>0</v>
      </c>
      <c r="Q23" s="94">
        <f t="shared" si="2"/>
        <v>0</v>
      </c>
      <c r="R23" s="91" t="s">
        <v>0</v>
      </c>
      <c r="S23" s="88">
        <f t="shared" si="3"/>
        <v>0</v>
      </c>
      <c r="T23" s="94">
        <f>((AM23/(1+AUXILIAR!$BJ$4))-((AM23/(1+AUXILIAR!$BJ$4))*AUXILIAR!$BK$4))-(((AM23/(1+AUXILIAR!$BJ$4))-((AM23/(1+AUXILIAR!$BJ$4))*AUXILIAR!$BK$4))*((AUXILIAR!$BL$4+AUXILIAR!$BM$4)))</f>
        <v>0</v>
      </c>
      <c r="U23" s="94">
        <f>((S23/(1+AUXILIAR!$BJ$7))-((S23/(1+AUXILIAR!$BJ$7))*AUXILIAR!$BK$7))-(((S23/(1+AUXILIAR!$BJ$7))-((S23/(1+AUXILIAR!$BJ$7))*AUXILIAR!$BK$7))*((AUXILIAR!$BL$7+AUXILIAR!$BM$7)))</f>
        <v>0</v>
      </c>
      <c r="V23" s="96">
        <f>AM23-(AM23/(1+AUXILIAR!$BJ$4))</f>
        <v>0</v>
      </c>
      <c r="W23" s="96">
        <f>(AM23-V23)*AUXILIAR!$BK$4</f>
        <v>0</v>
      </c>
      <c r="X23" s="96">
        <f>(AM23-V23-W23)*(AUXILIAR!$BL$4+AUXILIAR!$BM$4)</f>
        <v>0</v>
      </c>
      <c r="Y23" s="96">
        <f>X23-(X23/(1+AUXILIAR!$BJ$7))</f>
        <v>0</v>
      </c>
      <c r="Z23" s="96">
        <f>(S23-Y23)*AUXILIAR!$BK$7</f>
        <v>0</v>
      </c>
      <c r="AA23" s="96">
        <f>(S23-Y23-Z23)*(AUXILIAR!$BL$7+AUXILIAR!$BM$7)</f>
        <v>0</v>
      </c>
      <c r="AB23" s="97">
        <f t="shared" si="4"/>
        <v>0</v>
      </c>
      <c r="AC23" s="97">
        <f t="shared" si="5"/>
        <v>0</v>
      </c>
      <c r="AD23" s="97">
        <f t="shared" si="6"/>
        <v>0</v>
      </c>
      <c r="AE23" s="97">
        <f t="shared" si="24"/>
        <v>0</v>
      </c>
      <c r="AF23" s="97">
        <f t="shared" si="7"/>
        <v>0</v>
      </c>
      <c r="AG23" s="96">
        <f t="shared" si="8"/>
        <v>-1</v>
      </c>
      <c r="AH23" s="94">
        <f t="shared" si="25"/>
        <v>0</v>
      </c>
      <c r="AI23" s="98">
        <f t="shared" si="26"/>
        <v>0</v>
      </c>
      <c r="AJ23" s="94">
        <f t="shared" si="27"/>
        <v>0</v>
      </c>
      <c r="AK23" s="94">
        <f t="shared" si="28"/>
        <v>0</v>
      </c>
      <c r="AL23" s="94">
        <f>AUXILIAR!$BM$12</f>
        <v>1</v>
      </c>
      <c r="AM23" s="94">
        <f>IF($E$2="XADREZ",
     IFERROR(VLOOKUP(G23,AUXILIAR!AB:AC,2,TRUE),0),
     IF(AC20="SIM", 0, IFERROR(VLOOKUP(G23,AUXILIAR!AB:AC,2,TRUE),0))
)</f>
        <v>0</v>
      </c>
      <c r="AN23" s="124">
        <f t="shared" si="29"/>
        <v>0</v>
      </c>
      <c r="AO23" s="94">
        <f t="shared" si="9"/>
        <v>0</v>
      </c>
      <c r="AP23" s="94">
        <f t="shared" si="10"/>
        <v>0</v>
      </c>
      <c r="AQ23" s="124">
        <f>IFERROR(INDEX(AUXILIAR!$AG$3:$AG$28,MATCH(G23,AUXILIAR!$AH$3:$AH$28,1))*AM23,0)</f>
        <v>0</v>
      </c>
      <c r="AR23" s="99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1"/>
        <v/>
      </c>
      <c r="AT23" s="89" t="str">
        <f t="shared" si="12"/>
        <v/>
      </c>
      <c r="AU23" s="89" t="str">
        <f t="shared" si="13"/>
        <v/>
      </c>
      <c r="AV23" s="89" t="str">
        <f t="shared" si="14"/>
        <v/>
      </c>
      <c r="AW23" s="89" t="str">
        <f t="shared" si="15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16"/>
        <v>0</v>
      </c>
      <c r="AZ23" s="89">
        <f t="shared" si="17"/>
        <v>0</v>
      </c>
      <c r="BA23" s="116">
        <f t="shared" si="18"/>
        <v>0</v>
      </c>
      <c r="BB23" s="116">
        <f t="shared" si="19"/>
        <v>0</v>
      </c>
      <c r="BC23" s="116">
        <f t="shared" si="20"/>
        <v>0</v>
      </c>
      <c r="BD23" s="116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0">
        <f t="shared" si="31"/>
        <v>0.01</v>
      </c>
      <c r="BG23" s="90">
        <f t="shared" si="32"/>
        <v>3.3333333333333333E-2</v>
      </c>
      <c r="BH23" s="116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3">
        <v>1200</v>
      </c>
      <c r="L24" s="121" t="str">
        <f t="shared" si="22"/>
        <v>0</v>
      </c>
      <c r="M24" s="122">
        <f t="shared" si="23"/>
        <v>0</v>
      </c>
      <c r="N24" s="90">
        <f t="shared" si="0"/>
        <v>0</v>
      </c>
      <c r="O24" s="123">
        <f>IF(L24="",0,IFERROR(IF($M$2="ESTUDO",BH24,N24)+INDEX(AUXILIAR!$AO$3:$AO$8,MATCH(L24,{0;2;5;10;20;50},1))*1440,IF(M24="ESTUDO",BH24,N24)))</f>
        <v>0</v>
      </c>
      <c r="P24" s="94">
        <f t="shared" si="1"/>
        <v>0</v>
      </c>
      <c r="Q24" s="94">
        <f t="shared" si="2"/>
        <v>0</v>
      </c>
      <c r="R24" s="91" t="s">
        <v>0</v>
      </c>
      <c r="S24" s="88">
        <f t="shared" si="3"/>
        <v>0</v>
      </c>
      <c r="T24" s="94">
        <f>((AM24/(1+AUXILIAR!$BJ$4))-((AM24/(1+AUXILIAR!$BJ$4))*AUXILIAR!$BK$4))-(((AM24/(1+AUXILIAR!$BJ$4))-((AM24/(1+AUXILIAR!$BJ$4))*AUXILIAR!$BK$4))*((AUXILIAR!$BL$4+AUXILIAR!$BM$4)))</f>
        <v>0</v>
      </c>
      <c r="U24" s="94">
        <f>((S24/(1+AUXILIAR!$BJ$7))-((S24/(1+AUXILIAR!$BJ$7))*AUXILIAR!$BK$7))-(((S24/(1+AUXILIAR!$BJ$7))-((S24/(1+AUXILIAR!$BJ$7))*AUXILIAR!$BK$7))*((AUXILIAR!$BL$7+AUXILIAR!$BM$7)))</f>
        <v>0</v>
      </c>
      <c r="V24" s="96">
        <f>AM24-(AM24/(1+AUXILIAR!$BJ$4))</f>
        <v>0</v>
      </c>
      <c r="W24" s="96">
        <f>(AM24-V24)*AUXILIAR!$BK$4</f>
        <v>0</v>
      </c>
      <c r="X24" s="96">
        <f>(AM24-V24-W24)*(AUXILIAR!$BL$4+AUXILIAR!$BM$4)</f>
        <v>0</v>
      </c>
      <c r="Y24" s="96">
        <f>X24-(X24/(1+AUXILIAR!$BJ$7))</f>
        <v>0</v>
      </c>
      <c r="Z24" s="96">
        <f>(S24-Y24)*AUXILIAR!$BK$7</f>
        <v>0</v>
      </c>
      <c r="AA24" s="96">
        <f>(S24-Y24-Z24)*(AUXILIAR!$BL$7+AUXILIAR!$BM$7)</f>
        <v>0</v>
      </c>
      <c r="AB24" s="97">
        <f t="shared" si="4"/>
        <v>0</v>
      </c>
      <c r="AC24" s="97">
        <f t="shared" si="5"/>
        <v>0</v>
      </c>
      <c r="AD24" s="97">
        <f t="shared" si="6"/>
        <v>0</v>
      </c>
      <c r="AE24" s="97">
        <f t="shared" si="24"/>
        <v>0</v>
      </c>
      <c r="AF24" s="97">
        <f t="shared" si="7"/>
        <v>0</v>
      </c>
      <c r="AG24" s="96">
        <f t="shared" si="8"/>
        <v>-1</v>
      </c>
      <c r="AH24" s="94">
        <f t="shared" si="25"/>
        <v>0</v>
      </c>
      <c r="AI24" s="98">
        <f t="shared" si="26"/>
        <v>0</v>
      </c>
      <c r="AJ24" s="94">
        <f t="shared" si="27"/>
        <v>0</v>
      </c>
      <c r="AK24" s="94">
        <f t="shared" si="28"/>
        <v>0</v>
      </c>
      <c r="AL24" s="94">
        <f>AUXILIAR!$BM$12</f>
        <v>1</v>
      </c>
      <c r="AM24" s="94">
        <f>IF($E$2="XADREZ",
     IFERROR(VLOOKUP(G24,AUXILIAR!AB:AC,2,TRUE),0),
     IF(AC21="SIM", 0, IFERROR(VLOOKUP(G24,AUXILIAR!AB:AC,2,TRUE),0))
)</f>
        <v>0</v>
      </c>
      <c r="AN24" s="124">
        <f t="shared" si="29"/>
        <v>0</v>
      </c>
      <c r="AO24" s="94">
        <f t="shared" si="9"/>
        <v>0</v>
      </c>
      <c r="AP24" s="94">
        <f t="shared" si="10"/>
        <v>0</v>
      </c>
      <c r="AQ24" s="124">
        <f>IFERROR(INDEX(AUXILIAR!$AG$3:$AG$28,MATCH(G24,AUXILIAR!$AH$3:$AH$28,1))*AM24,0)</f>
        <v>0</v>
      </c>
      <c r="AR24" s="99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1"/>
        <v/>
      </c>
      <c r="AT24" s="89" t="str">
        <f t="shared" si="12"/>
        <v/>
      </c>
      <c r="AU24" s="89" t="str">
        <f t="shared" si="13"/>
        <v/>
      </c>
      <c r="AV24" s="89" t="str">
        <f t="shared" si="14"/>
        <v/>
      </c>
      <c r="AW24" s="89" t="str">
        <f t="shared" si="15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16"/>
        <v>0</v>
      </c>
      <c r="AZ24" s="89">
        <f t="shared" si="17"/>
        <v>0</v>
      </c>
      <c r="BA24" s="116">
        <f t="shared" si="18"/>
        <v>0</v>
      </c>
      <c r="BB24" s="116">
        <f t="shared" si="19"/>
        <v>0</v>
      </c>
      <c r="BC24" s="116">
        <f t="shared" si="20"/>
        <v>0</v>
      </c>
      <c r="BD24" s="116">
        <f t="shared" si="34"/>
        <v>0</v>
      </c>
      <c r="BE24" s="89">
        <f t="shared" si="30"/>
        <v>0</v>
      </c>
      <c r="BF24" s="90">
        <f t="shared" si="31"/>
        <v>0.01</v>
      </c>
      <c r="BG24" s="90">
        <f t="shared" si="32"/>
        <v>3.3333333333333333E-2</v>
      </c>
      <c r="BH24" s="116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3">
        <v>1200</v>
      </c>
      <c r="L25" s="121" t="str">
        <f t="shared" si="22"/>
        <v>0</v>
      </c>
      <c r="M25" s="122">
        <f t="shared" si="23"/>
        <v>0</v>
      </c>
      <c r="N25" s="90">
        <f t="shared" si="0"/>
        <v>0</v>
      </c>
      <c r="O25" s="123">
        <f>IF(L25="",0,IFERROR(IF($M$2="ESTUDO",BH25,N25)+INDEX(AUXILIAR!$AO$3:$AO$8,MATCH(L25,{0;2;5;10;20;50},1))*1440,IF(M25="ESTUDO",BH25,N25)))</f>
        <v>0</v>
      </c>
      <c r="P25" s="94">
        <f t="shared" si="1"/>
        <v>0</v>
      </c>
      <c r="Q25" s="94">
        <f t="shared" si="2"/>
        <v>0</v>
      </c>
      <c r="R25" s="91" t="s">
        <v>0</v>
      </c>
      <c r="S25" s="88">
        <f t="shared" si="3"/>
        <v>0</v>
      </c>
      <c r="T25" s="94">
        <f>((AM25/(1+AUXILIAR!$BJ$4))-((AM25/(1+AUXILIAR!$BJ$4))*AUXILIAR!$BK$4))-(((AM25/(1+AUXILIAR!$BJ$4))-((AM25/(1+AUXILIAR!$BJ$4))*AUXILIAR!$BK$4))*((AUXILIAR!$BL$4+AUXILIAR!$BM$4)))</f>
        <v>0</v>
      </c>
      <c r="U25" s="94">
        <f>((S25/(1+AUXILIAR!$BJ$7))-((S25/(1+AUXILIAR!$BJ$7))*AUXILIAR!$BK$7))-(((S25/(1+AUXILIAR!$BJ$7))-((S25/(1+AUXILIAR!$BJ$7))*AUXILIAR!$BK$7))*((AUXILIAR!$BL$7+AUXILIAR!$BM$7)))</f>
        <v>0</v>
      </c>
      <c r="V25" s="96">
        <f>AM25-(AM25/(1+AUXILIAR!$BJ$4))</f>
        <v>0</v>
      </c>
      <c r="W25" s="96">
        <f>(AM25-V25)*AUXILIAR!$BK$4</f>
        <v>0</v>
      </c>
      <c r="X25" s="96">
        <f>(AM25-V25-W25)*(AUXILIAR!$BL$4+AUXILIAR!$BM$4)</f>
        <v>0</v>
      </c>
      <c r="Y25" s="96">
        <f>X25-(X25/(1+AUXILIAR!$BJ$7))</f>
        <v>0</v>
      </c>
      <c r="Z25" s="96">
        <f>(S25-Y25)*AUXILIAR!$BK$7</f>
        <v>0</v>
      </c>
      <c r="AA25" s="96">
        <f>(S25-Y25-Z25)*(AUXILIAR!$BL$7+AUXILIAR!$BM$7)</f>
        <v>0</v>
      </c>
      <c r="AB25" s="97">
        <f t="shared" si="4"/>
        <v>0</v>
      </c>
      <c r="AC25" s="97">
        <f t="shared" si="5"/>
        <v>0</v>
      </c>
      <c r="AD25" s="97">
        <f t="shared" si="6"/>
        <v>0</v>
      </c>
      <c r="AE25" s="97">
        <f t="shared" si="24"/>
        <v>0</v>
      </c>
      <c r="AF25" s="97">
        <f t="shared" si="7"/>
        <v>0</v>
      </c>
      <c r="AG25" s="96">
        <f t="shared" si="8"/>
        <v>-1</v>
      </c>
      <c r="AH25" s="94">
        <f t="shared" si="25"/>
        <v>0</v>
      </c>
      <c r="AI25" s="98">
        <f t="shared" si="26"/>
        <v>0</v>
      </c>
      <c r="AJ25" s="94">
        <f t="shared" si="27"/>
        <v>0</v>
      </c>
      <c r="AK25" s="94">
        <f t="shared" si="28"/>
        <v>0</v>
      </c>
      <c r="AL25" s="94">
        <f>AUXILIAR!$BM$12</f>
        <v>1</v>
      </c>
      <c r="AM25" s="94">
        <f>IF($E$2="XADREZ",
     IFERROR(VLOOKUP(G25,AUXILIAR!AB:AC,2,TRUE),0),
     IF(AC22="SIM", 0, IFERROR(VLOOKUP(G25,AUXILIAR!AB:AC,2,TRUE),0))
)</f>
        <v>0</v>
      </c>
      <c r="AN25" s="124">
        <f t="shared" si="29"/>
        <v>0</v>
      </c>
      <c r="AO25" s="94">
        <f t="shared" si="9"/>
        <v>0</v>
      </c>
      <c r="AP25" s="94">
        <f t="shared" si="10"/>
        <v>0</v>
      </c>
      <c r="AQ25" s="124">
        <f>IFERROR(INDEX(AUXILIAR!$AG$3:$AG$28,MATCH(G25,AUXILIAR!$AH$3:$AH$28,1))*AM25,0)</f>
        <v>0</v>
      </c>
      <c r="AR25" s="99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1"/>
        <v/>
      </c>
      <c r="AT25" s="89" t="str">
        <f t="shared" si="12"/>
        <v/>
      </c>
      <c r="AU25" s="89" t="str">
        <f t="shared" si="13"/>
        <v/>
      </c>
      <c r="AV25" s="89" t="str">
        <f t="shared" si="14"/>
        <v/>
      </c>
      <c r="AW25" s="89" t="str">
        <f t="shared" si="15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16"/>
        <v>0</v>
      </c>
      <c r="AZ25" s="89">
        <f t="shared" si="17"/>
        <v>0</v>
      </c>
      <c r="BA25" s="116">
        <f t="shared" si="18"/>
        <v>0</v>
      </c>
      <c r="BB25" s="116">
        <f t="shared" si="19"/>
        <v>0</v>
      </c>
      <c r="BC25" s="116">
        <f t="shared" si="20"/>
        <v>0</v>
      </c>
      <c r="BD25" s="116">
        <f t="shared" si="34"/>
        <v>0</v>
      </c>
      <c r="BE25" s="89">
        <f t="shared" si="30"/>
        <v>0</v>
      </c>
      <c r="BF25" s="90">
        <f t="shared" si="31"/>
        <v>0.01</v>
      </c>
      <c r="BG25" s="90">
        <f t="shared" si="32"/>
        <v>3.3333333333333333E-2</v>
      </c>
      <c r="BH25" s="116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3">
        <v>1200</v>
      </c>
      <c r="L26" s="121" t="str">
        <f t="shared" si="22"/>
        <v>0</v>
      </c>
      <c r="M26" s="122">
        <f t="shared" si="23"/>
        <v>0</v>
      </c>
      <c r="N26" s="90">
        <f t="shared" si="0"/>
        <v>0</v>
      </c>
      <c r="O26" s="123">
        <f>IF(L26="",0,IFERROR(IF($M$2="ESTUDO",BH26,N26)+INDEX(AUXILIAR!$AO$3:$AO$8,MATCH(L26,{0;2;5;10;20;50},1))*1440,IF(M26="ESTUDO",BH26,N26)))</f>
        <v>0</v>
      </c>
      <c r="P26" s="94">
        <f t="shared" si="1"/>
        <v>0</v>
      </c>
      <c r="Q26" s="94">
        <f t="shared" si="2"/>
        <v>0</v>
      </c>
      <c r="R26" s="91" t="s">
        <v>0</v>
      </c>
      <c r="S26" s="88">
        <f t="shared" si="3"/>
        <v>0</v>
      </c>
      <c r="T26" s="94">
        <f>((AM26/(1+AUXILIAR!$BJ$4))-((AM26/(1+AUXILIAR!$BJ$4))*AUXILIAR!$BK$4))-(((AM26/(1+AUXILIAR!$BJ$4))-((AM26/(1+AUXILIAR!$BJ$4))*AUXILIAR!$BK$4))*((AUXILIAR!$BL$4+AUXILIAR!$BM$4)))</f>
        <v>0</v>
      </c>
      <c r="U26" s="94">
        <f>((S26/(1+AUXILIAR!$BJ$7))-((S26/(1+AUXILIAR!$BJ$7))*AUXILIAR!$BK$7))-(((S26/(1+AUXILIAR!$BJ$7))-((S26/(1+AUXILIAR!$BJ$7))*AUXILIAR!$BK$7))*((AUXILIAR!$BL$7+AUXILIAR!$BM$7)))</f>
        <v>0</v>
      </c>
      <c r="V26" s="96">
        <f>AM26-(AM26/(1+AUXILIAR!$BJ$4))</f>
        <v>0</v>
      </c>
      <c r="W26" s="96">
        <f>(AM26-V26)*AUXILIAR!$BK$4</f>
        <v>0</v>
      </c>
      <c r="X26" s="96">
        <f>(AM26-V26-W26)*(AUXILIAR!$BL$4+AUXILIAR!$BM$4)</f>
        <v>0</v>
      </c>
      <c r="Y26" s="96">
        <f>X26-(X26/(1+AUXILIAR!$BJ$7))</f>
        <v>0</v>
      </c>
      <c r="Z26" s="96">
        <f>(S26-Y26)*AUXILIAR!$BK$7</f>
        <v>0</v>
      </c>
      <c r="AA26" s="96">
        <f>(S26-Y26-Z26)*(AUXILIAR!$BL$7+AUXILIAR!$BM$7)</f>
        <v>0</v>
      </c>
      <c r="AB26" s="97">
        <f t="shared" si="4"/>
        <v>0</v>
      </c>
      <c r="AC26" s="97">
        <f t="shared" si="5"/>
        <v>0</v>
      </c>
      <c r="AD26" s="97">
        <f t="shared" si="6"/>
        <v>0</v>
      </c>
      <c r="AE26" s="97">
        <f t="shared" si="24"/>
        <v>0</v>
      </c>
      <c r="AF26" s="97">
        <f t="shared" si="7"/>
        <v>0</v>
      </c>
      <c r="AG26" s="96">
        <f t="shared" si="8"/>
        <v>-1</v>
      </c>
      <c r="AH26" s="94">
        <f t="shared" si="25"/>
        <v>0</v>
      </c>
      <c r="AI26" s="98">
        <f t="shared" si="26"/>
        <v>0</v>
      </c>
      <c r="AJ26" s="94">
        <f t="shared" si="27"/>
        <v>0</v>
      </c>
      <c r="AK26" s="94">
        <f t="shared" si="28"/>
        <v>0</v>
      </c>
      <c r="AL26" s="94">
        <f>AUXILIAR!$BM$12</f>
        <v>1</v>
      </c>
      <c r="AM26" s="94">
        <f>IF($E$2="XADREZ",
     IFERROR(VLOOKUP(G26,AUXILIAR!AB:AC,2,TRUE),0),
     IF(AC23="SIM", 0, IFERROR(VLOOKUP(G26,AUXILIAR!AB:AC,2,TRUE),0))
)</f>
        <v>0</v>
      </c>
      <c r="AN26" s="124">
        <f t="shared" si="29"/>
        <v>0</v>
      </c>
      <c r="AO26" s="94">
        <f t="shared" si="9"/>
        <v>0</v>
      </c>
      <c r="AP26" s="94">
        <f t="shared" si="10"/>
        <v>0</v>
      </c>
      <c r="AQ26" s="124">
        <f>IFERROR(INDEX(AUXILIAR!$AG$3:$AG$28,MATCH(G26,AUXILIAR!$AH$3:$AH$28,1))*AM26,0)</f>
        <v>0</v>
      </c>
      <c r="AR26" s="99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1"/>
        <v/>
      </c>
      <c r="AT26" s="89" t="str">
        <f t="shared" si="12"/>
        <v/>
      </c>
      <c r="AU26" s="89" t="str">
        <f t="shared" si="13"/>
        <v/>
      </c>
      <c r="AV26" s="89" t="str">
        <f t="shared" si="14"/>
        <v/>
      </c>
      <c r="AW26" s="89" t="str">
        <f t="shared" si="15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16"/>
        <v>0</v>
      </c>
      <c r="AZ26" s="89">
        <f t="shared" si="17"/>
        <v>0</v>
      </c>
      <c r="BA26" s="116">
        <f t="shared" si="18"/>
        <v>0</v>
      </c>
      <c r="BB26" s="116">
        <f t="shared" si="19"/>
        <v>0</v>
      </c>
      <c r="BC26" s="116">
        <f t="shared" si="20"/>
        <v>0</v>
      </c>
      <c r="BD26" s="116">
        <f t="shared" si="34"/>
        <v>0</v>
      </c>
      <c r="BE26" s="89">
        <f t="shared" si="30"/>
        <v>0</v>
      </c>
      <c r="BF26" s="90">
        <f t="shared" si="31"/>
        <v>0.01</v>
      </c>
      <c r="BG26" s="90">
        <f t="shared" si="32"/>
        <v>3.3333333333333333E-2</v>
      </c>
      <c r="BH26" s="116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3">
        <v>1200</v>
      </c>
      <c r="L27" s="121" t="str">
        <f t="shared" si="22"/>
        <v>0</v>
      </c>
      <c r="M27" s="122">
        <f t="shared" si="23"/>
        <v>0</v>
      </c>
      <c r="N27" s="90">
        <f t="shared" si="0"/>
        <v>0</v>
      </c>
      <c r="O27" s="123">
        <f>IF(L27="",0,IFERROR(IF($M$2="ESTUDO",BH27,N27)+INDEX(AUXILIAR!$AO$3:$AO$8,MATCH(L27,{0;2;5;10;20;50},1))*1440,IF(M27="ESTUDO",BH27,N27)))</f>
        <v>0</v>
      </c>
      <c r="P27" s="94">
        <f t="shared" si="1"/>
        <v>0</v>
      </c>
      <c r="Q27" s="94">
        <f t="shared" si="2"/>
        <v>0</v>
      </c>
      <c r="R27" s="91" t="s">
        <v>0</v>
      </c>
      <c r="S27" s="88">
        <f t="shared" si="3"/>
        <v>0</v>
      </c>
      <c r="T27" s="94">
        <f>((AM27/(1+AUXILIAR!$BJ$4))-((AM27/(1+AUXILIAR!$BJ$4))*AUXILIAR!$BK$4))-(((AM27/(1+AUXILIAR!$BJ$4))-((AM27/(1+AUXILIAR!$BJ$4))*AUXILIAR!$BK$4))*((AUXILIAR!$BL$4+AUXILIAR!$BM$4)))</f>
        <v>0</v>
      </c>
      <c r="U27" s="94">
        <f>((S27/(1+AUXILIAR!$BJ$7))-((S27/(1+AUXILIAR!$BJ$7))*AUXILIAR!$BK$7))-(((S27/(1+AUXILIAR!$BJ$7))-((S27/(1+AUXILIAR!$BJ$7))*AUXILIAR!$BK$7))*((AUXILIAR!$BL$7+AUXILIAR!$BM$7)))</f>
        <v>0</v>
      </c>
      <c r="V27" s="96">
        <f>AM27-(AM27/(1+AUXILIAR!$BJ$4))</f>
        <v>0</v>
      </c>
      <c r="W27" s="96">
        <f>(AM27-V27)*AUXILIAR!$BK$4</f>
        <v>0</v>
      </c>
      <c r="X27" s="96">
        <f>(AM27-V27-W27)*(AUXILIAR!$BL$4+AUXILIAR!$BM$4)</f>
        <v>0</v>
      </c>
      <c r="Y27" s="96">
        <f>X27-(X27/(1+AUXILIAR!$BJ$7))</f>
        <v>0</v>
      </c>
      <c r="Z27" s="96">
        <f>(S27-Y27)*AUXILIAR!$BK$7</f>
        <v>0</v>
      </c>
      <c r="AA27" s="96">
        <f>(S27-Y27-Z27)*(AUXILIAR!$BL$7+AUXILIAR!$BM$7)</f>
        <v>0</v>
      </c>
      <c r="AB27" s="97">
        <f t="shared" si="4"/>
        <v>0</v>
      </c>
      <c r="AC27" s="97">
        <f t="shared" si="5"/>
        <v>0</v>
      </c>
      <c r="AD27" s="97">
        <f t="shared" si="6"/>
        <v>0</v>
      </c>
      <c r="AE27" s="97">
        <f t="shared" si="24"/>
        <v>0</v>
      </c>
      <c r="AF27" s="97">
        <f t="shared" si="7"/>
        <v>0</v>
      </c>
      <c r="AG27" s="96">
        <f t="shared" si="8"/>
        <v>-1</v>
      </c>
      <c r="AH27" s="94">
        <f t="shared" si="25"/>
        <v>0</v>
      </c>
      <c r="AI27" s="98">
        <f t="shared" si="26"/>
        <v>0</v>
      </c>
      <c r="AJ27" s="94">
        <f t="shared" si="27"/>
        <v>0</v>
      </c>
      <c r="AK27" s="94">
        <f t="shared" si="28"/>
        <v>0</v>
      </c>
      <c r="AL27" s="94">
        <f>AUXILIAR!$BM$12</f>
        <v>1</v>
      </c>
      <c r="AM27" s="94">
        <f>IF($E$2="XADREZ",
     IFERROR(VLOOKUP(G27,AUXILIAR!AB:AC,2,TRUE),0),
     IF(AC24="SIM", 0, IFERROR(VLOOKUP(G27,AUXILIAR!AB:AC,2,TRUE),0))
)</f>
        <v>0</v>
      </c>
      <c r="AN27" s="124">
        <f t="shared" si="29"/>
        <v>0</v>
      </c>
      <c r="AO27" s="94">
        <f t="shared" si="9"/>
        <v>0</v>
      </c>
      <c r="AP27" s="94">
        <f t="shared" si="10"/>
        <v>0</v>
      </c>
      <c r="AQ27" s="124">
        <f>IFERROR(INDEX(AUXILIAR!$AG$3:$AG$28,MATCH(G27,AUXILIAR!$AH$3:$AH$28,1))*AM27,0)</f>
        <v>0</v>
      </c>
      <c r="AR27" s="99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1"/>
        <v/>
      </c>
      <c r="AT27" s="89" t="str">
        <f t="shared" si="12"/>
        <v/>
      </c>
      <c r="AU27" s="89" t="str">
        <f t="shared" si="13"/>
        <v/>
      </c>
      <c r="AV27" s="89" t="str">
        <f t="shared" si="14"/>
        <v/>
      </c>
      <c r="AW27" s="89" t="str">
        <f t="shared" si="15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16"/>
        <v>0</v>
      </c>
      <c r="AZ27" s="89">
        <f t="shared" si="17"/>
        <v>0</v>
      </c>
      <c r="BA27" s="116">
        <f t="shared" si="18"/>
        <v>0</v>
      </c>
      <c r="BB27" s="116">
        <f t="shared" si="19"/>
        <v>0</v>
      </c>
      <c r="BC27" s="116">
        <f t="shared" si="20"/>
        <v>0</v>
      </c>
      <c r="BD27" s="116">
        <f t="shared" si="34"/>
        <v>0</v>
      </c>
      <c r="BE27" s="89">
        <f t="shared" si="30"/>
        <v>0</v>
      </c>
      <c r="BF27" s="90">
        <f t="shared" si="31"/>
        <v>0.01</v>
      </c>
      <c r="BG27" s="90">
        <f t="shared" si="32"/>
        <v>3.3333333333333333E-2</v>
      </c>
      <c r="BH27" s="116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3">
        <v>1200</v>
      </c>
      <c r="L28" s="121" t="str">
        <f t="shared" si="22"/>
        <v>0</v>
      </c>
      <c r="M28" s="122">
        <f t="shared" si="23"/>
        <v>0</v>
      </c>
      <c r="N28" s="90">
        <f t="shared" si="0"/>
        <v>0</v>
      </c>
      <c r="O28" s="123">
        <f>IF(L28="",0,IFERROR(IF($M$2="ESTUDO",BH28,N28)+INDEX(AUXILIAR!$AO$3:$AO$8,MATCH(L28,{0;2;5;10;20;50},1))*1440,IF(M28="ESTUDO",BH28,N28)))</f>
        <v>0</v>
      </c>
      <c r="P28" s="94">
        <f t="shared" si="1"/>
        <v>0</v>
      </c>
      <c r="Q28" s="94">
        <f t="shared" si="2"/>
        <v>0</v>
      </c>
      <c r="R28" s="91" t="s">
        <v>0</v>
      </c>
      <c r="S28" s="88">
        <f t="shared" si="3"/>
        <v>0</v>
      </c>
      <c r="T28" s="94">
        <f>((AM28/(1+AUXILIAR!$BJ$4))-((AM28/(1+AUXILIAR!$BJ$4))*AUXILIAR!$BK$4))-(((AM28/(1+AUXILIAR!$BJ$4))-((AM28/(1+AUXILIAR!$BJ$4))*AUXILIAR!$BK$4))*((AUXILIAR!$BL$4+AUXILIAR!$BM$4)))</f>
        <v>0</v>
      </c>
      <c r="U28" s="94">
        <f>((S28/(1+AUXILIAR!$BJ$7))-((S28/(1+AUXILIAR!$BJ$7))*AUXILIAR!$BK$7))-(((S28/(1+AUXILIAR!$BJ$7))-((S28/(1+AUXILIAR!$BJ$7))*AUXILIAR!$BK$7))*((AUXILIAR!$BL$7+AUXILIAR!$BM$7)))</f>
        <v>0</v>
      </c>
      <c r="V28" s="96">
        <f>AM28-(AM28/(1+AUXILIAR!$BJ$4))</f>
        <v>0</v>
      </c>
      <c r="W28" s="96">
        <f>(AM28-V28)*AUXILIAR!$BK$4</f>
        <v>0</v>
      </c>
      <c r="X28" s="96">
        <f>(AM28-V28-W28)*(AUXILIAR!$BL$4+AUXILIAR!$BM$4)</f>
        <v>0</v>
      </c>
      <c r="Y28" s="96">
        <f>X28-(X28/(1+AUXILIAR!$BJ$7))</f>
        <v>0</v>
      </c>
      <c r="Z28" s="96">
        <f>(S28-Y28)*AUXILIAR!$BK$7</f>
        <v>0</v>
      </c>
      <c r="AA28" s="96">
        <f>(S28-Y28-Z28)*(AUXILIAR!$BL$7+AUXILIAR!$BM$7)</f>
        <v>0</v>
      </c>
      <c r="AB28" s="97">
        <f t="shared" si="4"/>
        <v>0</v>
      </c>
      <c r="AC28" s="97">
        <f t="shared" si="5"/>
        <v>0</v>
      </c>
      <c r="AD28" s="97">
        <f t="shared" si="6"/>
        <v>0</v>
      </c>
      <c r="AE28" s="97">
        <f t="shared" si="24"/>
        <v>0</v>
      </c>
      <c r="AF28" s="97">
        <f t="shared" si="7"/>
        <v>0</v>
      </c>
      <c r="AG28" s="96">
        <f t="shared" si="8"/>
        <v>-1</v>
      </c>
      <c r="AH28" s="94">
        <f t="shared" si="25"/>
        <v>0</v>
      </c>
      <c r="AI28" s="98">
        <f t="shared" si="26"/>
        <v>0</v>
      </c>
      <c r="AJ28" s="94">
        <f t="shared" si="27"/>
        <v>0</v>
      </c>
      <c r="AK28" s="94">
        <f t="shared" si="28"/>
        <v>0</v>
      </c>
      <c r="AL28" s="94">
        <f>AUXILIAR!$BM$12</f>
        <v>1</v>
      </c>
      <c r="AM28" s="94">
        <f>IF($E$2="XADREZ",
     IFERROR(VLOOKUP(G28,AUXILIAR!AB:AC,2,TRUE),0),
     IF(AC25="SIM", 0, IFERROR(VLOOKUP(G28,AUXILIAR!AB:AC,2,TRUE),0))
)</f>
        <v>0</v>
      </c>
      <c r="AN28" s="124">
        <f t="shared" si="29"/>
        <v>0</v>
      </c>
      <c r="AO28" s="94">
        <f t="shared" si="9"/>
        <v>0</v>
      </c>
      <c r="AP28" s="94">
        <f t="shared" si="10"/>
        <v>0</v>
      </c>
      <c r="AQ28" s="124">
        <f>IFERROR(INDEX(AUXILIAR!$AG$3:$AG$28,MATCH(G28,AUXILIAR!$AH$3:$AH$28,1))*AM28,0)</f>
        <v>0</v>
      </c>
      <c r="AR28" s="99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1"/>
        <v/>
      </c>
      <c r="AT28" s="89" t="str">
        <f t="shared" si="12"/>
        <v/>
      </c>
      <c r="AU28" s="89" t="str">
        <f t="shared" si="13"/>
        <v/>
      </c>
      <c r="AV28" s="89" t="str">
        <f t="shared" si="14"/>
        <v/>
      </c>
      <c r="AW28" s="89" t="str">
        <f t="shared" si="15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16"/>
        <v>0</v>
      </c>
      <c r="AZ28" s="89">
        <f t="shared" si="17"/>
        <v>0</v>
      </c>
      <c r="BA28" s="116">
        <f t="shared" si="18"/>
        <v>0</v>
      </c>
      <c r="BB28" s="116">
        <f t="shared" si="19"/>
        <v>0</v>
      </c>
      <c r="BC28" s="116">
        <f t="shared" si="20"/>
        <v>0</v>
      </c>
      <c r="BD28" s="116">
        <f t="shared" si="34"/>
        <v>0</v>
      </c>
      <c r="BE28" s="89">
        <f t="shared" si="30"/>
        <v>0</v>
      </c>
      <c r="BF28" s="90">
        <f t="shared" si="31"/>
        <v>0.01</v>
      </c>
      <c r="BG28" s="90">
        <f t="shared" si="32"/>
        <v>3.3333333333333333E-2</v>
      </c>
      <c r="BH28" s="116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3">
        <v>1200</v>
      </c>
      <c r="L29" s="121" t="str">
        <f t="shared" si="22"/>
        <v>0</v>
      </c>
      <c r="M29" s="122">
        <f t="shared" si="23"/>
        <v>0</v>
      </c>
      <c r="N29" s="90">
        <f t="shared" si="0"/>
        <v>0</v>
      </c>
      <c r="O29" s="123">
        <f>IF(L29="",0,IFERROR(IF($M$2="ESTUDO",BH29,N29)+INDEX(AUXILIAR!$AO$3:$AO$8,MATCH(L29,{0;2;5;10;20;50},1))*1440,IF(M29="ESTUDO",BH29,N29)))</f>
        <v>0</v>
      </c>
      <c r="P29" s="94">
        <f t="shared" si="1"/>
        <v>0</v>
      </c>
      <c r="Q29" s="94">
        <f t="shared" si="2"/>
        <v>0</v>
      </c>
      <c r="R29" s="91" t="s">
        <v>0</v>
      </c>
      <c r="S29" s="88">
        <f t="shared" si="3"/>
        <v>0</v>
      </c>
      <c r="T29" s="94">
        <f>((AM29/(1+AUXILIAR!$BJ$4))-((AM29/(1+AUXILIAR!$BJ$4))*AUXILIAR!$BK$4))-(((AM29/(1+AUXILIAR!$BJ$4))-((AM29/(1+AUXILIAR!$BJ$4))*AUXILIAR!$BK$4))*((AUXILIAR!$BL$4+AUXILIAR!$BM$4)))</f>
        <v>0</v>
      </c>
      <c r="U29" s="94">
        <f>((S29/(1+AUXILIAR!$BJ$7))-((S29/(1+AUXILIAR!$BJ$7))*AUXILIAR!$BK$7))-(((S29/(1+AUXILIAR!$BJ$7))-((S29/(1+AUXILIAR!$BJ$7))*AUXILIAR!$BK$7))*((AUXILIAR!$BL$7+AUXILIAR!$BM$7)))</f>
        <v>0</v>
      </c>
      <c r="V29" s="96">
        <f>AM29-(AM29/(1+AUXILIAR!$BJ$4))</f>
        <v>0</v>
      </c>
      <c r="W29" s="96">
        <f>(AM29-V29)*AUXILIAR!$BK$4</f>
        <v>0</v>
      </c>
      <c r="X29" s="96">
        <f>(AM29-V29-W29)*(AUXILIAR!$BL$4+AUXILIAR!$BM$4)</f>
        <v>0</v>
      </c>
      <c r="Y29" s="96">
        <f>X29-(X29/(1+AUXILIAR!$BJ$7))</f>
        <v>0</v>
      </c>
      <c r="Z29" s="96">
        <f>(S29-Y29)*AUXILIAR!$BK$7</f>
        <v>0</v>
      </c>
      <c r="AA29" s="96">
        <f>(S29-Y29-Z29)*(AUXILIAR!$BL$7+AUXILIAR!$BM$7)</f>
        <v>0</v>
      </c>
      <c r="AB29" s="97">
        <f t="shared" si="4"/>
        <v>0</v>
      </c>
      <c r="AC29" s="97">
        <f t="shared" si="5"/>
        <v>0</v>
      </c>
      <c r="AD29" s="97">
        <f t="shared" si="6"/>
        <v>0</v>
      </c>
      <c r="AE29" s="97">
        <f t="shared" si="24"/>
        <v>0</v>
      </c>
      <c r="AF29" s="97">
        <f t="shared" si="7"/>
        <v>0</v>
      </c>
      <c r="AG29" s="96">
        <f t="shared" si="8"/>
        <v>-1</v>
      </c>
      <c r="AH29" s="94">
        <f t="shared" si="25"/>
        <v>0</v>
      </c>
      <c r="AI29" s="98">
        <f t="shared" si="26"/>
        <v>0</v>
      </c>
      <c r="AJ29" s="94">
        <f t="shared" si="27"/>
        <v>0</v>
      </c>
      <c r="AK29" s="94">
        <f t="shared" si="28"/>
        <v>0</v>
      </c>
      <c r="AL29" s="94">
        <f>AUXILIAR!$BM$12</f>
        <v>1</v>
      </c>
      <c r="AM29" s="94">
        <f>IF($E$2="XADREZ",
     IFERROR(VLOOKUP(G29,AUXILIAR!AB:AC,2,TRUE),0),
     IF(AC26="SIM", 0, IFERROR(VLOOKUP(G29,AUXILIAR!AB:AC,2,TRUE),0))
)</f>
        <v>0</v>
      </c>
      <c r="AN29" s="124">
        <f t="shared" si="29"/>
        <v>0</v>
      </c>
      <c r="AO29" s="94">
        <f t="shared" si="9"/>
        <v>0</v>
      </c>
      <c r="AP29" s="94">
        <f t="shared" si="10"/>
        <v>0</v>
      </c>
      <c r="AQ29" s="124">
        <f>IFERROR(INDEX(AUXILIAR!$AG$3:$AG$28,MATCH(G29,AUXILIAR!$AH$3:$AH$28,1))*AM29,0)</f>
        <v>0</v>
      </c>
      <c r="AR29" s="99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1"/>
        <v/>
      </c>
      <c r="AT29" s="89" t="str">
        <f t="shared" si="12"/>
        <v/>
      </c>
      <c r="AU29" s="89" t="str">
        <f t="shared" si="13"/>
        <v/>
      </c>
      <c r="AV29" s="89" t="str">
        <f t="shared" si="14"/>
        <v/>
      </c>
      <c r="AW29" s="89" t="str">
        <f t="shared" si="15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16"/>
        <v>0</v>
      </c>
      <c r="AZ29" s="89">
        <f t="shared" si="17"/>
        <v>0</v>
      </c>
      <c r="BA29" s="116">
        <f t="shared" si="18"/>
        <v>0</v>
      </c>
      <c r="BB29" s="116">
        <f t="shared" si="19"/>
        <v>0</v>
      </c>
      <c r="BC29" s="116">
        <f t="shared" si="20"/>
        <v>0</v>
      </c>
      <c r="BD29" s="116">
        <f t="shared" si="34"/>
        <v>0</v>
      </c>
      <c r="BE29" s="89">
        <f t="shared" si="30"/>
        <v>0</v>
      </c>
      <c r="BF29" s="90">
        <f t="shared" si="31"/>
        <v>0.01</v>
      </c>
      <c r="BG29" s="90">
        <f t="shared" si="32"/>
        <v>3.3333333333333333E-2</v>
      </c>
      <c r="BH29" s="116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3">
        <v>1200</v>
      </c>
      <c r="L30" s="121" t="str">
        <f t="shared" si="22"/>
        <v>0</v>
      </c>
      <c r="M30" s="122">
        <f t="shared" si="23"/>
        <v>0</v>
      </c>
      <c r="N30" s="90">
        <f t="shared" si="0"/>
        <v>0</v>
      </c>
      <c r="O30" s="123">
        <f>IF(L30="",0,IFERROR(IF($M$2="ESTUDO",BH30,N30)+INDEX(AUXILIAR!$AO$3:$AO$8,MATCH(L30,{0;2;5;10;20;50},1))*1440,IF(M30="ESTUDO",BH30,N30)))</f>
        <v>0</v>
      </c>
      <c r="P30" s="94">
        <f t="shared" si="1"/>
        <v>0</v>
      </c>
      <c r="Q30" s="94">
        <f t="shared" si="2"/>
        <v>0</v>
      </c>
      <c r="R30" s="91" t="s">
        <v>0</v>
      </c>
      <c r="S30" s="88">
        <f t="shared" si="3"/>
        <v>0</v>
      </c>
      <c r="T30" s="94">
        <f>((AM30/(1+AUXILIAR!$BJ$4))-((AM30/(1+AUXILIAR!$BJ$4))*AUXILIAR!$BK$4))-(((AM30/(1+AUXILIAR!$BJ$4))-((AM30/(1+AUXILIAR!$BJ$4))*AUXILIAR!$BK$4))*((AUXILIAR!$BL$4+AUXILIAR!$BM$4)))</f>
        <v>0</v>
      </c>
      <c r="U30" s="94">
        <f>((S30/(1+AUXILIAR!$BJ$7))-((S30/(1+AUXILIAR!$BJ$7))*AUXILIAR!$BK$7))-(((S30/(1+AUXILIAR!$BJ$7))-((S30/(1+AUXILIAR!$BJ$7))*AUXILIAR!$BK$7))*((AUXILIAR!$BL$7+AUXILIAR!$BM$7)))</f>
        <v>0</v>
      </c>
      <c r="V30" s="96">
        <f>AM30-(AM30/(1+AUXILIAR!$BJ$4))</f>
        <v>0</v>
      </c>
      <c r="W30" s="96">
        <f>(AM30-V30)*AUXILIAR!$BK$4</f>
        <v>0</v>
      </c>
      <c r="X30" s="96">
        <f>(AM30-V30-W30)*(AUXILIAR!$BL$4+AUXILIAR!$BM$4)</f>
        <v>0</v>
      </c>
      <c r="Y30" s="96">
        <f>X30-(X30/(1+AUXILIAR!$BJ$7))</f>
        <v>0</v>
      </c>
      <c r="Z30" s="96">
        <f>(S30-Y30)*AUXILIAR!$BK$7</f>
        <v>0</v>
      </c>
      <c r="AA30" s="96">
        <f>(S30-Y30-Z30)*(AUXILIAR!$BL$7+AUXILIAR!$BM$7)</f>
        <v>0</v>
      </c>
      <c r="AB30" s="97">
        <f t="shared" si="4"/>
        <v>0</v>
      </c>
      <c r="AC30" s="97">
        <f t="shared" si="5"/>
        <v>0</v>
      </c>
      <c r="AD30" s="97">
        <f t="shared" si="6"/>
        <v>0</v>
      </c>
      <c r="AE30" s="97">
        <f t="shared" si="24"/>
        <v>0</v>
      </c>
      <c r="AF30" s="97">
        <f t="shared" si="7"/>
        <v>0</v>
      </c>
      <c r="AG30" s="96">
        <f t="shared" si="8"/>
        <v>-1</v>
      </c>
      <c r="AH30" s="94">
        <f t="shared" si="25"/>
        <v>0</v>
      </c>
      <c r="AI30" s="98">
        <f t="shared" si="26"/>
        <v>0</v>
      </c>
      <c r="AJ30" s="94">
        <f t="shared" si="27"/>
        <v>0</v>
      </c>
      <c r="AK30" s="94">
        <f t="shared" si="28"/>
        <v>0</v>
      </c>
      <c r="AL30" s="94">
        <f>AUXILIAR!$BM$12</f>
        <v>1</v>
      </c>
      <c r="AM30" s="94">
        <f>IF($E$2="XADREZ",
     IFERROR(VLOOKUP(G30,AUXILIAR!AB:AC,2,TRUE),0),
     IF(AC27="SIM", 0, IFERROR(VLOOKUP(G30,AUXILIAR!AB:AC,2,TRUE),0))
)</f>
        <v>0</v>
      </c>
      <c r="AN30" s="124">
        <f t="shared" si="29"/>
        <v>0</v>
      </c>
      <c r="AO30" s="94">
        <f t="shared" si="9"/>
        <v>0</v>
      </c>
      <c r="AP30" s="94">
        <f t="shared" si="10"/>
        <v>0</v>
      </c>
      <c r="AQ30" s="124">
        <f>IFERROR(INDEX(AUXILIAR!$AG$3:$AG$28,MATCH(G30,AUXILIAR!$AH$3:$AH$28,1))*AM30,0)</f>
        <v>0</v>
      </c>
      <c r="AR30" s="99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1"/>
        <v/>
      </c>
      <c r="AT30" s="89" t="str">
        <f t="shared" si="12"/>
        <v/>
      </c>
      <c r="AU30" s="89" t="str">
        <f t="shared" si="13"/>
        <v/>
      </c>
      <c r="AV30" s="89" t="str">
        <f t="shared" si="14"/>
        <v/>
      </c>
      <c r="AW30" s="89" t="str">
        <f t="shared" si="15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16"/>
        <v>0</v>
      </c>
      <c r="AZ30" s="89">
        <f t="shared" si="17"/>
        <v>0</v>
      </c>
      <c r="BA30" s="116">
        <f t="shared" si="18"/>
        <v>0</v>
      </c>
      <c r="BB30" s="116">
        <f t="shared" si="19"/>
        <v>0</v>
      </c>
      <c r="BC30" s="116">
        <f t="shared" si="20"/>
        <v>0</v>
      </c>
      <c r="BD30" s="116">
        <f t="shared" si="34"/>
        <v>0</v>
      </c>
      <c r="BE30" s="89">
        <f t="shared" si="30"/>
        <v>0</v>
      </c>
      <c r="BF30" s="90">
        <f t="shared" si="31"/>
        <v>0.01</v>
      </c>
      <c r="BG30" s="90">
        <f t="shared" si="32"/>
        <v>3.3333333333333333E-2</v>
      </c>
      <c r="BH30" s="116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3">
        <v>1200</v>
      </c>
      <c r="L31" s="121" t="str">
        <f t="shared" si="22"/>
        <v>0</v>
      </c>
      <c r="M31" s="122">
        <f t="shared" si="23"/>
        <v>0</v>
      </c>
      <c r="N31" s="90">
        <f t="shared" si="0"/>
        <v>0</v>
      </c>
      <c r="O31" s="123">
        <f>IF(L31="",0,IFERROR(IF($M$2="ESTUDO",BH31,N31)+INDEX(AUXILIAR!$AO$3:$AO$8,MATCH(L31,{0;2;5;10;20;50},1))*1440,IF(M31="ESTUDO",BH31,N31)))</f>
        <v>0</v>
      </c>
      <c r="P31" s="94">
        <f t="shared" si="1"/>
        <v>0</v>
      </c>
      <c r="Q31" s="94">
        <f t="shared" si="2"/>
        <v>0</v>
      </c>
      <c r="R31" s="91" t="s">
        <v>0</v>
      </c>
      <c r="S31" s="88">
        <f t="shared" si="3"/>
        <v>0</v>
      </c>
      <c r="T31" s="94">
        <f>((AM31/(1+AUXILIAR!$BJ$4))-((AM31/(1+AUXILIAR!$BJ$4))*AUXILIAR!$BK$4))-(((AM31/(1+AUXILIAR!$BJ$4))-((AM31/(1+AUXILIAR!$BJ$4))*AUXILIAR!$BK$4))*((AUXILIAR!$BL$4+AUXILIAR!$BM$4)))</f>
        <v>0</v>
      </c>
      <c r="U31" s="94">
        <f>((S31/(1+AUXILIAR!$BJ$7))-((S31/(1+AUXILIAR!$BJ$7))*AUXILIAR!$BK$7))-(((S31/(1+AUXILIAR!$BJ$7))-((S31/(1+AUXILIAR!$BJ$7))*AUXILIAR!$BK$7))*((AUXILIAR!$BL$7+AUXILIAR!$BM$7)))</f>
        <v>0</v>
      </c>
      <c r="V31" s="96">
        <f>AM31-(AM31/(1+AUXILIAR!$BJ$4))</f>
        <v>0</v>
      </c>
      <c r="W31" s="96">
        <f>(AM31-V31)*AUXILIAR!$BK$4</f>
        <v>0</v>
      </c>
      <c r="X31" s="96">
        <f>(AM31-V31-W31)*(AUXILIAR!$BL$4+AUXILIAR!$BM$4)</f>
        <v>0</v>
      </c>
      <c r="Y31" s="96">
        <f>X31-(X31/(1+AUXILIAR!$BJ$7))</f>
        <v>0</v>
      </c>
      <c r="Z31" s="96">
        <f>(S31-Y31)*AUXILIAR!$BK$7</f>
        <v>0</v>
      </c>
      <c r="AA31" s="96">
        <f>(S31-Y31-Z31)*(AUXILIAR!$BL$7+AUXILIAR!$BM$7)</f>
        <v>0</v>
      </c>
      <c r="AB31" s="97">
        <f t="shared" si="4"/>
        <v>0</v>
      </c>
      <c r="AC31" s="97">
        <f t="shared" si="5"/>
        <v>0</v>
      </c>
      <c r="AD31" s="97">
        <f t="shared" si="6"/>
        <v>0</v>
      </c>
      <c r="AE31" s="97">
        <f t="shared" si="24"/>
        <v>0</v>
      </c>
      <c r="AF31" s="97">
        <f t="shared" si="7"/>
        <v>0</v>
      </c>
      <c r="AG31" s="96">
        <f t="shared" si="8"/>
        <v>-1</v>
      </c>
      <c r="AH31" s="94">
        <f t="shared" si="25"/>
        <v>0</v>
      </c>
      <c r="AI31" s="98">
        <f t="shared" si="26"/>
        <v>0</v>
      </c>
      <c r="AJ31" s="94">
        <f t="shared" si="27"/>
        <v>0</v>
      </c>
      <c r="AK31" s="94">
        <f t="shared" si="28"/>
        <v>0</v>
      </c>
      <c r="AL31" s="94">
        <f>AUXILIAR!$BM$12</f>
        <v>1</v>
      </c>
      <c r="AM31" s="94">
        <f>IF($E$2="XADREZ",
     IFERROR(VLOOKUP(G31,AUXILIAR!AB:AC,2,TRUE),0),
     IF(AC28="SIM", 0, IFERROR(VLOOKUP(G31,AUXILIAR!AB:AC,2,TRUE),0))
)</f>
        <v>0</v>
      </c>
      <c r="AN31" s="124">
        <f t="shared" si="29"/>
        <v>0</v>
      </c>
      <c r="AO31" s="94">
        <f t="shared" si="9"/>
        <v>0</v>
      </c>
      <c r="AP31" s="94">
        <f t="shared" si="10"/>
        <v>0</v>
      </c>
      <c r="AQ31" s="124">
        <f>IFERROR(INDEX(AUXILIAR!$AG$3:$AG$28,MATCH(G31,AUXILIAR!$AH$3:$AH$28,1))*AM31,0)</f>
        <v>0</v>
      </c>
      <c r="AR31" s="99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1"/>
        <v/>
      </c>
      <c r="AT31" s="89" t="str">
        <f t="shared" si="12"/>
        <v/>
      </c>
      <c r="AU31" s="89" t="str">
        <f t="shared" si="13"/>
        <v/>
      </c>
      <c r="AV31" s="89" t="str">
        <f t="shared" si="14"/>
        <v/>
      </c>
      <c r="AW31" s="89" t="str">
        <f t="shared" si="15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16"/>
        <v>0</v>
      </c>
      <c r="AZ31" s="89">
        <f t="shared" si="17"/>
        <v>0</v>
      </c>
      <c r="BA31" s="116">
        <f t="shared" si="18"/>
        <v>0</v>
      </c>
      <c r="BB31" s="116">
        <f t="shared" si="19"/>
        <v>0</v>
      </c>
      <c r="BC31" s="116">
        <f t="shared" si="20"/>
        <v>0</v>
      </c>
      <c r="BD31" s="116">
        <f t="shared" si="34"/>
        <v>0</v>
      </c>
      <c r="BE31" s="89">
        <f t="shared" si="30"/>
        <v>0</v>
      </c>
      <c r="BF31" s="90">
        <f t="shared" si="31"/>
        <v>0.01</v>
      </c>
      <c r="BG31" s="90">
        <f t="shared" si="32"/>
        <v>3.3333333333333333E-2</v>
      </c>
      <c r="BH31" s="116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3">
        <v>1200</v>
      </c>
      <c r="L32" s="121" t="str">
        <f t="shared" si="22"/>
        <v>0</v>
      </c>
      <c r="M32" s="122">
        <f t="shared" si="23"/>
        <v>0</v>
      </c>
      <c r="N32" s="90">
        <f t="shared" si="0"/>
        <v>0</v>
      </c>
      <c r="O32" s="123">
        <f>IF(L32="",0,IFERROR(IF($M$2="ESTUDO",BH32,N32)+INDEX(AUXILIAR!$AO$3:$AO$8,MATCH(L32,{0;2;5;10;20;50},1))*1440,IF(M32="ESTUDO",BH32,N32)))</f>
        <v>0</v>
      </c>
      <c r="P32" s="94">
        <f t="shared" si="1"/>
        <v>0</v>
      </c>
      <c r="Q32" s="94">
        <f t="shared" si="2"/>
        <v>0</v>
      </c>
      <c r="R32" s="91" t="s">
        <v>0</v>
      </c>
      <c r="S32" s="88">
        <f t="shared" si="3"/>
        <v>0</v>
      </c>
      <c r="T32" s="94">
        <f>((AM32/(1+AUXILIAR!$BJ$4))-((AM32/(1+AUXILIAR!$BJ$4))*AUXILIAR!$BK$4))-(((AM32/(1+AUXILIAR!$BJ$4))-((AM32/(1+AUXILIAR!$BJ$4))*AUXILIAR!$BK$4))*((AUXILIAR!$BL$4+AUXILIAR!$BM$4)))</f>
        <v>0</v>
      </c>
      <c r="U32" s="94">
        <f>((S32/(1+AUXILIAR!$BJ$7))-((S32/(1+AUXILIAR!$BJ$7))*AUXILIAR!$BK$7))-(((S32/(1+AUXILIAR!$BJ$7))-((S32/(1+AUXILIAR!$BJ$7))*AUXILIAR!$BK$7))*((AUXILIAR!$BL$7+AUXILIAR!$BM$7)))</f>
        <v>0</v>
      </c>
      <c r="V32" s="96">
        <f>AM32-(AM32/(1+AUXILIAR!$BJ$4))</f>
        <v>0</v>
      </c>
      <c r="W32" s="96">
        <f>(AM32-V32)*AUXILIAR!$BK$4</f>
        <v>0</v>
      </c>
      <c r="X32" s="96">
        <f>(AM32-V32-W32)*(AUXILIAR!$BL$4+AUXILIAR!$BM$4)</f>
        <v>0</v>
      </c>
      <c r="Y32" s="96">
        <f>X32-(X32/(1+AUXILIAR!$BJ$7))</f>
        <v>0</v>
      </c>
      <c r="Z32" s="96">
        <f>(S32-Y32)*AUXILIAR!$BK$7</f>
        <v>0</v>
      </c>
      <c r="AA32" s="96">
        <f>(S32-Y32-Z32)*(AUXILIAR!$BL$7+AUXILIAR!$BM$7)</f>
        <v>0</v>
      </c>
      <c r="AB32" s="97">
        <f t="shared" si="4"/>
        <v>0</v>
      </c>
      <c r="AC32" s="97">
        <f t="shared" si="5"/>
        <v>0</v>
      </c>
      <c r="AD32" s="97">
        <f t="shared" si="6"/>
        <v>0</v>
      </c>
      <c r="AE32" s="97">
        <f t="shared" si="24"/>
        <v>0</v>
      </c>
      <c r="AF32" s="97">
        <f t="shared" si="7"/>
        <v>0</v>
      </c>
      <c r="AG32" s="96">
        <f t="shared" si="8"/>
        <v>-1</v>
      </c>
      <c r="AH32" s="94">
        <f t="shared" si="25"/>
        <v>0</v>
      </c>
      <c r="AI32" s="98">
        <f t="shared" si="26"/>
        <v>0</v>
      </c>
      <c r="AJ32" s="94">
        <f t="shared" si="27"/>
        <v>0</v>
      </c>
      <c r="AK32" s="94">
        <f t="shared" si="28"/>
        <v>0</v>
      </c>
      <c r="AL32" s="94">
        <f>AUXILIAR!$BM$12</f>
        <v>1</v>
      </c>
      <c r="AM32" s="94">
        <f>IF($E$2="XADREZ",
     IFERROR(VLOOKUP(G32,AUXILIAR!AB:AC,2,TRUE),0),
     IF(AC29="SIM", 0, IFERROR(VLOOKUP(G32,AUXILIAR!AB:AC,2,TRUE),0))
)</f>
        <v>0</v>
      </c>
      <c r="AN32" s="124">
        <f t="shared" si="29"/>
        <v>0</v>
      </c>
      <c r="AO32" s="94">
        <f t="shared" si="9"/>
        <v>0</v>
      </c>
      <c r="AP32" s="94">
        <f t="shared" si="10"/>
        <v>0</v>
      </c>
      <c r="AQ32" s="124">
        <f>IFERROR(INDEX(AUXILIAR!$AG$3:$AG$28,MATCH(G32,AUXILIAR!$AH$3:$AH$28,1))*AM32,0)</f>
        <v>0</v>
      </c>
      <c r="AR32" s="99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1"/>
        <v/>
      </c>
      <c r="AT32" s="89" t="str">
        <f t="shared" si="12"/>
        <v/>
      </c>
      <c r="AU32" s="89" t="str">
        <f t="shared" si="13"/>
        <v/>
      </c>
      <c r="AV32" s="89" t="str">
        <f t="shared" si="14"/>
        <v/>
      </c>
      <c r="AW32" s="89" t="str">
        <f t="shared" si="15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16"/>
        <v>0</v>
      </c>
      <c r="AZ32" s="89">
        <f t="shared" si="17"/>
        <v>0</v>
      </c>
      <c r="BA32" s="116">
        <f t="shared" si="18"/>
        <v>0</v>
      </c>
      <c r="BB32" s="116">
        <f t="shared" si="19"/>
        <v>0</v>
      </c>
      <c r="BC32" s="116">
        <f t="shared" si="20"/>
        <v>0</v>
      </c>
      <c r="BD32" s="116">
        <f t="shared" si="34"/>
        <v>0</v>
      </c>
      <c r="BE32" s="89">
        <f t="shared" si="30"/>
        <v>0</v>
      </c>
      <c r="BF32" s="90">
        <f t="shared" si="31"/>
        <v>0.01</v>
      </c>
      <c r="BG32" s="90">
        <f t="shared" si="32"/>
        <v>3.3333333333333333E-2</v>
      </c>
      <c r="BH32" s="116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3">
        <v>1200</v>
      </c>
      <c r="L33" s="121" t="str">
        <f t="shared" si="22"/>
        <v>0</v>
      </c>
      <c r="M33" s="122">
        <f t="shared" si="23"/>
        <v>0</v>
      </c>
      <c r="N33" s="90">
        <f t="shared" si="0"/>
        <v>0</v>
      </c>
      <c r="O33" s="123">
        <f>IF(L33="",0,IFERROR(IF($M$2="ESTUDO",BH33,N33)+INDEX(AUXILIAR!$AO$3:$AO$8,MATCH(L33,{0;2;5;10;20;50},1))*1440,IF(M33="ESTUDO",BH33,N33)))</f>
        <v>0</v>
      </c>
      <c r="P33" s="94">
        <f t="shared" si="1"/>
        <v>0</v>
      </c>
      <c r="Q33" s="94">
        <f t="shared" si="2"/>
        <v>0</v>
      </c>
      <c r="R33" s="91" t="s">
        <v>0</v>
      </c>
      <c r="S33" s="88">
        <f t="shared" si="3"/>
        <v>0</v>
      </c>
      <c r="T33" s="94">
        <f>((AM33/(1+AUXILIAR!$BJ$4))-((AM33/(1+AUXILIAR!$BJ$4))*AUXILIAR!$BK$4))-(((AM33/(1+AUXILIAR!$BJ$4))-((AM33/(1+AUXILIAR!$BJ$4))*AUXILIAR!$BK$4))*((AUXILIAR!$BL$4+AUXILIAR!$BM$4)))</f>
        <v>0</v>
      </c>
      <c r="U33" s="94">
        <f>((S33/(1+AUXILIAR!$BJ$7))-((S33/(1+AUXILIAR!$BJ$7))*AUXILIAR!$BK$7))-(((S33/(1+AUXILIAR!$BJ$7))-((S33/(1+AUXILIAR!$BJ$7))*AUXILIAR!$BK$7))*((AUXILIAR!$BL$7+AUXILIAR!$BM$7)))</f>
        <v>0</v>
      </c>
      <c r="V33" s="96">
        <f>AM33-(AM33/(1+AUXILIAR!$BJ$4))</f>
        <v>0</v>
      </c>
      <c r="W33" s="96">
        <f>(AM33-V33)*AUXILIAR!$BK$4</f>
        <v>0</v>
      </c>
      <c r="X33" s="96">
        <f>(AM33-V33-W33)*(AUXILIAR!$BL$4+AUXILIAR!$BM$4)</f>
        <v>0</v>
      </c>
      <c r="Y33" s="96">
        <f>X33-(X33/(1+AUXILIAR!$BJ$7))</f>
        <v>0</v>
      </c>
      <c r="Z33" s="96">
        <f>(S33-Y33)*AUXILIAR!$BK$7</f>
        <v>0</v>
      </c>
      <c r="AA33" s="96">
        <f>(S33-Y33-Z33)*(AUXILIAR!$BL$7+AUXILIAR!$BM$7)</f>
        <v>0</v>
      </c>
      <c r="AB33" s="97">
        <f t="shared" si="4"/>
        <v>0</v>
      </c>
      <c r="AC33" s="97">
        <f t="shared" si="5"/>
        <v>0</v>
      </c>
      <c r="AD33" s="97">
        <f t="shared" si="6"/>
        <v>0</v>
      </c>
      <c r="AE33" s="97">
        <f t="shared" si="24"/>
        <v>0</v>
      </c>
      <c r="AF33" s="97">
        <f t="shared" si="7"/>
        <v>0</v>
      </c>
      <c r="AG33" s="96">
        <f t="shared" si="8"/>
        <v>-1</v>
      </c>
      <c r="AH33" s="94">
        <f t="shared" si="25"/>
        <v>0</v>
      </c>
      <c r="AI33" s="98">
        <f t="shared" si="26"/>
        <v>0</v>
      </c>
      <c r="AJ33" s="94">
        <f t="shared" si="27"/>
        <v>0</v>
      </c>
      <c r="AK33" s="94">
        <f t="shared" si="28"/>
        <v>0</v>
      </c>
      <c r="AL33" s="94">
        <f>AUXILIAR!$BM$12</f>
        <v>1</v>
      </c>
      <c r="AM33" s="94">
        <f>IF($E$2="XADREZ",
     IFERROR(VLOOKUP(G33,AUXILIAR!AB:AC,2,TRUE),0),
     IF(AC30="SIM", 0, IFERROR(VLOOKUP(G33,AUXILIAR!AB:AC,2,TRUE),0))
)</f>
        <v>0</v>
      </c>
      <c r="AN33" s="124">
        <f t="shared" si="29"/>
        <v>0</v>
      </c>
      <c r="AO33" s="94">
        <f t="shared" si="9"/>
        <v>0</v>
      </c>
      <c r="AP33" s="94">
        <f t="shared" si="10"/>
        <v>0</v>
      </c>
      <c r="AQ33" s="124">
        <f>IFERROR(INDEX(AUXILIAR!$AG$3:$AG$28,MATCH(G33,AUXILIAR!$AH$3:$AH$28,1))*AM33,0)</f>
        <v>0</v>
      </c>
      <c r="AR33" s="99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1"/>
        <v/>
      </c>
      <c r="AT33" s="89" t="str">
        <f t="shared" si="12"/>
        <v/>
      </c>
      <c r="AU33" s="89" t="str">
        <f t="shared" si="13"/>
        <v/>
      </c>
      <c r="AV33" s="89" t="str">
        <f t="shared" si="14"/>
        <v/>
      </c>
      <c r="AW33" s="89" t="str">
        <f t="shared" si="15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16"/>
        <v>0</v>
      </c>
      <c r="AZ33" s="89">
        <f t="shared" si="17"/>
        <v>0</v>
      </c>
      <c r="BA33" s="116">
        <f t="shared" si="18"/>
        <v>0</v>
      </c>
      <c r="BB33" s="116">
        <f t="shared" si="19"/>
        <v>0</v>
      </c>
      <c r="BC33" s="116">
        <f t="shared" si="20"/>
        <v>0</v>
      </c>
      <c r="BD33" s="116">
        <f t="shared" si="34"/>
        <v>0</v>
      </c>
      <c r="BE33" s="89">
        <f t="shared" si="30"/>
        <v>0</v>
      </c>
      <c r="BF33" s="90">
        <f t="shared" si="31"/>
        <v>0.01</v>
      </c>
      <c r="BG33" s="90">
        <f t="shared" si="32"/>
        <v>3.3333333333333333E-2</v>
      </c>
      <c r="BH33" s="116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3">
        <v>1200</v>
      </c>
      <c r="L34" s="121" t="str">
        <f t="shared" si="22"/>
        <v>0</v>
      </c>
      <c r="M34" s="122">
        <f t="shared" si="23"/>
        <v>0</v>
      </c>
      <c r="N34" s="90">
        <f t="shared" si="0"/>
        <v>0</v>
      </c>
      <c r="O34" s="123">
        <f>IF(L34="",0,IFERROR(IF($M$2="ESTUDO",BH34,N34)+INDEX(AUXILIAR!$AO$3:$AO$8,MATCH(L34,{0;2;5;10;20;50},1))*1440,IF(M34="ESTUDO",BH34,N34)))</f>
        <v>0</v>
      </c>
      <c r="P34" s="94">
        <f t="shared" si="1"/>
        <v>0</v>
      </c>
      <c r="Q34" s="94">
        <f t="shared" si="2"/>
        <v>0</v>
      </c>
      <c r="R34" s="91" t="s">
        <v>0</v>
      </c>
      <c r="S34" s="88">
        <f t="shared" si="3"/>
        <v>0</v>
      </c>
      <c r="T34" s="94">
        <f>((AM34/(1+AUXILIAR!$BJ$4))-((AM34/(1+AUXILIAR!$BJ$4))*AUXILIAR!$BK$4))-(((AM34/(1+AUXILIAR!$BJ$4))-((AM34/(1+AUXILIAR!$BJ$4))*AUXILIAR!$BK$4))*((AUXILIAR!$BL$4+AUXILIAR!$BM$4)))</f>
        <v>0</v>
      </c>
      <c r="U34" s="94">
        <f>((S34/(1+AUXILIAR!$BJ$7))-((S34/(1+AUXILIAR!$BJ$7))*AUXILIAR!$BK$7))-(((S34/(1+AUXILIAR!$BJ$7))-((S34/(1+AUXILIAR!$BJ$7))*AUXILIAR!$BK$7))*((AUXILIAR!$BL$7+AUXILIAR!$BM$7)))</f>
        <v>0</v>
      </c>
      <c r="V34" s="96">
        <f>AM34-(AM34/(1+AUXILIAR!$BJ$4))</f>
        <v>0</v>
      </c>
      <c r="W34" s="96">
        <f>(AM34-V34)*AUXILIAR!$BK$4</f>
        <v>0</v>
      </c>
      <c r="X34" s="96">
        <f>(AM34-V34-W34)*(AUXILIAR!$BL$4+AUXILIAR!$BM$4)</f>
        <v>0</v>
      </c>
      <c r="Y34" s="96">
        <f>X34-(X34/(1+AUXILIAR!$BJ$7))</f>
        <v>0</v>
      </c>
      <c r="Z34" s="96">
        <f>(S34-Y34)*AUXILIAR!$BK$7</f>
        <v>0</v>
      </c>
      <c r="AA34" s="96">
        <f>(S34-Y34-Z34)*(AUXILIAR!$BL$7+AUXILIAR!$BM$7)</f>
        <v>0</v>
      </c>
      <c r="AB34" s="97">
        <f t="shared" si="4"/>
        <v>0</v>
      </c>
      <c r="AC34" s="97">
        <f t="shared" si="5"/>
        <v>0</v>
      </c>
      <c r="AD34" s="97">
        <f t="shared" si="6"/>
        <v>0</v>
      </c>
      <c r="AE34" s="97">
        <f t="shared" si="24"/>
        <v>0</v>
      </c>
      <c r="AF34" s="97">
        <f t="shared" si="7"/>
        <v>0</v>
      </c>
      <c r="AG34" s="96">
        <f t="shared" si="8"/>
        <v>-1</v>
      </c>
      <c r="AH34" s="94">
        <f t="shared" si="25"/>
        <v>0</v>
      </c>
      <c r="AI34" s="98">
        <f t="shared" si="26"/>
        <v>0</v>
      </c>
      <c r="AJ34" s="94">
        <f t="shared" si="27"/>
        <v>0</v>
      </c>
      <c r="AK34" s="94">
        <f t="shared" si="28"/>
        <v>0</v>
      </c>
      <c r="AL34" s="94">
        <f>AUXILIAR!$BM$12</f>
        <v>1</v>
      </c>
      <c r="AM34" s="94">
        <f>IF($E$2="XADREZ",
     IFERROR(VLOOKUP(G34,AUXILIAR!AB:AC,2,TRUE),0),
     IF(AC31="SIM", 0, IFERROR(VLOOKUP(G34,AUXILIAR!AB:AC,2,TRUE),0))
)</f>
        <v>0</v>
      </c>
      <c r="AN34" s="124">
        <f t="shared" si="29"/>
        <v>0</v>
      </c>
      <c r="AO34" s="94">
        <f t="shared" si="9"/>
        <v>0</v>
      </c>
      <c r="AP34" s="94">
        <f t="shared" si="10"/>
        <v>0</v>
      </c>
      <c r="AQ34" s="124">
        <f>IFERROR(INDEX(AUXILIAR!$AG$3:$AG$28,MATCH(G34,AUXILIAR!$AH$3:$AH$28,1))*AM34,0)</f>
        <v>0</v>
      </c>
      <c r="AR34" s="99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1"/>
        <v/>
      </c>
      <c r="AT34" s="89" t="str">
        <f t="shared" si="12"/>
        <v/>
      </c>
      <c r="AU34" s="89" t="str">
        <f t="shared" si="13"/>
        <v/>
      </c>
      <c r="AV34" s="89" t="str">
        <f t="shared" si="14"/>
        <v/>
      </c>
      <c r="AW34" s="89" t="str">
        <f t="shared" si="15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16"/>
        <v>0</v>
      </c>
      <c r="AZ34" s="89">
        <f t="shared" si="17"/>
        <v>0</v>
      </c>
      <c r="BA34" s="116">
        <f t="shared" si="18"/>
        <v>0</v>
      </c>
      <c r="BB34" s="116">
        <f t="shared" si="19"/>
        <v>0</v>
      </c>
      <c r="BC34" s="116">
        <f t="shared" si="20"/>
        <v>0</v>
      </c>
      <c r="BD34" s="116">
        <f t="shared" si="34"/>
        <v>0</v>
      </c>
      <c r="BE34" s="89">
        <f t="shared" si="30"/>
        <v>0</v>
      </c>
      <c r="BF34" s="90">
        <f t="shared" si="31"/>
        <v>0.01</v>
      </c>
      <c r="BG34" s="90">
        <f t="shared" si="32"/>
        <v>3.3333333333333333E-2</v>
      </c>
      <c r="BH34" s="116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3">
        <v>1200</v>
      </c>
      <c r="L35" s="121" t="str">
        <f t="shared" si="22"/>
        <v>0</v>
      </c>
      <c r="M35" s="122">
        <f t="shared" si="23"/>
        <v>0</v>
      </c>
      <c r="N35" s="90">
        <f t="shared" si="0"/>
        <v>0</v>
      </c>
      <c r="O35" s="123">
        <f>IF(L35="",0,IFERROR(IF($M$2="ESTUDO",BH35,N35)+INDEX(AUXILIAR!$AO$3:$AO$8,MATCH(L35,{0;2;5;10;20;50},1))*1440,IF(M35="ESTUDO",BH35,N35)))</f>
        <v>0</v>
      </c>
      <c r="P35" s="94">
        <f t="shared" si="1"/>
        <v>0</v>
      </c>
      <c r="Q35" s="94">
        <f t="shared" si="2"/>
        <v>0</v>
      </c>
      <c r="R35" s="91" t="s">
        <v>0</v>
      </c>
      <c r="S35" s="88">
        <f t="shared" si="3"/>
        <v>0</v>
      </c>
      <c r="T35" s="94">
        <f>((AM35/(1+AUXILIAR!$BJ$4))-((AM35/(1+AUXILIAR!$BJ$4))*AUXILIAR!$BK$4))-(((AM35/(1+AUXILIAR!$BJ$4))-((AM35/(1+AUXILIAR!$BJ$4))*AUXILIAR!$BK$4))*((AUXILIAR!$BL$4+AUXILIAR!$BM$4)))</f>
        <v>0</v>
      </c>
      <c r="U35" s="94">
        <f>((S35/(1+AUXILIAR!$BJ$7))-((S35/(1+AUXILIAR!$BJ$7))*AUXILIAR!$BK$7))-(((S35/(1+AUXILIAR!$BJ$7))-((S35/(1+AUXILIAR!$BJ$7))*AUXILIAR!$BK$7))*((AUXILIAR!$BL$7+AUXILIAR!$BM$7)))</f>
        <v>0</v>
      </c>
      <c r="V35" s="96">
        <f>AM35-(AM35/(1+AUXILIAR!$BJ$4))</f>
        <v>0</v>
      </c>
      <c r="W35" s="96">
        <f>(AM35-V35)*AUXILIAR!$BK$4</f>
        <v>0</v>
      </c>
      <c r="X35" s="96">
        <f>(AM35-V35-W35)*(AUXILIAR!$BL$4+AUXILIAR!$BM$4)</f>
        <v>0</v>
      </c>
      <c r="Y35" s="96">
        <f>X35-(X35/(1+AUXILIAR!$BJ$7))</f>
        <v>0</v>
      </c>
      <c r="Z35" s="96">
        <f>(S35-Y35)*AUXILIAR!$BK$7</f>
        <v>0</v>
      </c>
      <c r="AA35" s="96">
        <f>(S35-Y35-Z35)*(AUXILIAR!$BL$7+AUXILIAR!$BM$7)</f>
        <v>0</v>
      </c>
      <c r="AB35" s="97">
        <f t="shared" si="4"/>
        <v>0</v>
      </c>
      <c r="AC35" s="97">
        <f t="shared" si="5"/>
        <v>0</v>
      </c>
      <c r="AD35" s="97">
        <f t="shared" si="6"/>
        <v>0</v>
      </c>
      <c r="AE35" s="97">
        <f t="shared" si="24"/>
        <v>0</v>
      </c>
      <c r="AF35" s="97">
        <f t="shared" si="7"/>
        <v>0</v>
      </c>
      <c r="AG35" s="96">
        <f t="shared" si="8"/>
        <v>-1</v>
      </c>
      <c r="AH35" s="94">
        <f t="shared" si="25"/>
        <v>0</v>
      </c>
      <c r="AI35" s="98">
        <f t="shared" si="26"/>
        <v>0</v>
      </c>
      <c r="AJ35" s="94">
        <f t="shared" si="27"/>
        <v>0</v>
      </c>
      <c r="AK35" s="94">
        <f t="shared" si="28"/>
        <v>0</v>
      </c>
      <c r="AL35" s="94">
        <f>AUXILIAR!$BM$12</f>
        <v>1</v>
      </c>
      <c r="AM35" s="94">
        <f>IF($E$2="XADREZ",
     IFERROR(VLOOKUP(G35,AUXILIAR!AB:AC,2,TRUE),0),
     IF(AC32="SIM", 0, IFERROR(VLOOKUP(G35,AUXILIAR!AB:AC,2,TRUE),0))
)</f>
        <v>0</v>
      </c>
      <c r="AN35" s="124">
        <f t="shared" si="29"/>
        <v>0</v>
      </c>
      <c r="AO35" s="94">
        <f t="shared" si="9"/>
        <v>0</v>
      </c>
      <c r="AP35" s="94">
        <f t="shared" si="10"/>
        <v>0</v>
      </c>
      <c r="AQ35" s="124">
        <f>IFERROR(INDEX(AUXILIAR!$AG$3:$AG$28,MATCH(G35,AUXILIAR!$AH$3:$AH$28,1))*AM35,0)</f>
        <v>0</v>
      </c>
      <c r="AR35" s="99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1"/>
        <v/>
      </c>
      <c r="AT35" s="89" t="str">
        <f t="shared" si="12"/>
        <v/>
      </c>
      <c r="AU35" s="89" t="str">
        <f t="shared" si="13"/>
        <v/>
      </c>
      <c r="AV35" s="89" t="str">
        <f t="shared" si="14"/>
        <v/>
      </c>
      <c r="AW35" s="89" t="str">
        <f t="shared" si="15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16"/>
        <v>0</v>
      </c>
      <c r="AZ35" s="89">
        <f t="shared" si="17"/>
        <v>0</v>
      </c>
      <c r="BA35" s="116">
        <f t="shared" si="18"/>
        <v>0</v>
      </c>
      <c r="BB35" s="116">
        <f t="shared" si="19"/>
        <v>0</v>
      </c>
      <c r="BC35" s="116">
        <f t="shared" si="20"/>
        <v>0</v>
      </c>
      <c r="BD35" s="116">
        <f t="shared" si="34"/>
        <v>0</v>
      </c>
      <c r="BE35" s="89">
        <f t="shared" si="30"/>
        <v>0</v>
      </c>
      <c r="BF35" s="90">
        <f t="shared" si="31"/>
        <v>0.01</v>
      </c>
      <c r="BG35" s="90">
        <f t="shared" si="32"/>
        <v>3.3333333333333333E-2</v>
      </c>
      <c r="BH35" s="116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3">
        <v>1200</v>
      </c>
      <c r="L36" s="121" t="str">
        <f t="shared" si="22"/>
        <v>0</v>
      </c>
      <c r="M36" s="122">
        <f t="shared" si="23"/>
        <v>0</v>
      </c>
      <c r="N36" s="90">
        <f t="shared" si="0"/>
        <v>0</v>
      </c>
      <c r="O36" s="123">
        <f>IF(L36="",0,IFERROR(IF($M$2="ESTUDO",BH36,N36)+INDEX(AUXILIAR!$AO$3:$AO$8,MATCH(L36,{0;2;5;10;20;50},1))*1440,IF(M36="ESTUDO",BH36,N36)))</f>
        <v>0</v>
      </c>
      <c r="P36" s="94">
        <f t="shared" si="1"/>
        <v>0</v>
      </c>
      <c r="Q36" s="94">
        <f t="shared" si="2"/>
        <v>0</v>
      </c>
      <c r="R36" s="91" t="s">
        <v>0</v>
      </c>
      <c r="S36" s="88">
        <f t="shared" si="3"/>
        <v>0</v>
      </c>
      <c r="T36" s="94">
        <f>((AM36/(1+AUXILIAR!$BJ$4))-((AM36/(1+AUXILIAR!$BJ$4))*AUXILIAR!$BK$4))-(((AM36/(1+AUXILIAR!$BJ$4))-((AM36/(1+AUXILIAR!$BJ$4))*AUXILIAR!$BK$4))*((AUXILIAR!$BL$4+AUXILIAR!$BM$4)))</f>
        <v>0</v>
      </c>
      <c r="U36" s="94">
        <f>((S36/(1+AUXILIAR!$BJ$7))-((S36/(1+AUXILIAR!$BJ$7))*AUXILIAR!$BK$7))-(((S36/(1+AUXILIAR!$BJ$7))-((S36/(1+AUXILIAR!$BJ$7))*AUXILIAR!$BK$7))*((AUXILIAR!$BL$7+AUXILIAR!$BM$7)))</f>
        <v>0</v>
      </c>
      <c r="V36" s="96">
        <f>AM36-(AM36/(1+AUXILIAR!$BJ$4))</f>
        <v>0</v>
      </c>
      <c r="W36" s="96">
        <f>(AM36-V36)*AUXILIAR!$BK$4</f>
        <v>0</v>
      </c>
      <c r="X36" s="96">
        <f>(AM36-V36-W36)*(AUXILIAR!$BL$4+AUXILIAR!$BM$4)</f>
        <v>0</v>
      </c>
      <c r="Y36" s="96">
        <f>X36-(X36/(1+AUXILIAR!$BJ$7))</f>
        <v>0</v>
      </c>
      <c r="Z36" s="96">
        <f>(S36-Y36)*AUXILIAR!$BK$7</f>
        <v>0</v>
      </c>
      <c r="AA36" s="96">
        <f>(S36-Y36-Z36)*(AUXILIAR!$BL$7+AUXILIAR!$BM$7)</f>
        <v>0</v>
      </c>
      <c r="AB36" s="97">
        <f t="shared" si="4"/>
        <v>0</v>
      </c>
      <c r="AC36" s="97">
        <f t="shared" si="5"/>
        <v>0</v>
      </c>
      <c r="AD36" s="97">
        <f t="shared" si="6"/>
        <v>0</v>
      </c>
      <c r="AE36" s="97">
        <f t="shared" si="24"/>
        <v>0</v>
      </c>
      <c r="AF36" s="97">
        <f t="shared" si="7"/>
        <v>0</v>
      </c>
      <c r="AG36" s="96">
        <f t="shared" si="8"/>
        <v>-1</v>
      </c>
      <c r="AH36" s="94">
        <f t="shared" si="25"/>
        <v>0</v>
      </c>
      <c r="AI36" s="98">
        <f t="shared" si="26"/>
        <v>0</v>
      </c>
      <c r="AJ36" s="94">
        <f t="shared" si="27"/>
        <v>0</v>
      </c>
      <c r="AK36" s="94">
        <f t="shared" si="28"/>
        <v>0</v>
      </c>
      <c r="AL36" s="94">
        <f>AUXILIAR!$BM$12</f>
        <v>1</v>
      </c>
      <c r="AM36" s="94">
        <f>IF($E$2="XADREZ",
     IFERROR(VLOOKUP(G36,AUXILIAR!AB:AC,2,TRUE),0),
     IF(AC33="SIM", 0, IFERROR(VLOOKUP(G36,AUXILIAR!AB:AC,2,TRUE),0))
)</f>
        <v>0</v>
      </c>
      <c r="AN36" s="124">
        <f t="shared" si="29"/>
        <v>0</v>
      </c>
      <c r="AO36" s="94">
        <f t="shared" si="9"/>
        <v>0</v>
      </c>
      <c r="AP36" s="94">
        <f t="shared" si="10"/>
        <v>0</v>
      </c>
      <c r="AQ36" s="124">
        <f>IFERROR(INDEX(AUXILIAR!$AG$3:$AG$28,MATCH(G36,AUXILIAR!$AH$3:$AH$28,1))*AM36,0)</f>
        <v>0</v>
      </c>
      <c r="AR36" s="99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1"/>
        <v/>
      </c>
      <c r="AT36" s="89" t="str">
        <f t="shared" si="12"/>
        <v/>
      </c>
      <c r="AU36" s="89" t="str">
        <f t="shared" si="13"/>
        <v/>
      </c>
      <c r="AV36" s="89" t="str">
        <f t="shared" si="14"/>
        <v/>
      </c>
      <c r="AW36" s="89" t="str">
        <f t="shared" si="15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16"/>
        <v>0</v>
      </c>
      <c r="AZ36" s="89">
        <f t="shared" si="17"/>
        <v>0</v>
      </c>
      <c r="BA36" s="116">
        <f t="shared" si="18"/>
        <v>0</v>
      </c>
      <c r="BB36" s="116">
        <f t="shared" si="19"/>
        <v>0</v>
      </c>
      <c r="BC36" s="116">
        <f t="shared" si="20"/>
        <v>0</v>
      </c>
      <c r="BD36" s="116">
        <f t="shared" si="34"/>
        <v>0</v>
      </c>
      <c r="BE36" s="89">
        <f t="shared" si="30"/>
        <v>0</v>
      </c>
      <c r="BF36" s="90">
        <f t="shared" si="31"/>
        <v>0.01</v>
      </c>
      <c r="BG36" s="90">
        <f t="shared" si="32"/>
        <v>3.3333333333333333E-2</v>
      </c>
      <c r="BH36" s="116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3">
        <v>1200</v>
      </c>
      <c r="L37" s="121" t="str">
        <f t="shared" si="22"/>
        <v>0</v>
      </c>
      <c r="M37" s="122">
        <f t="shared" si="23"/>
        <v>0</v>
      </c>
      <c r="N37" s="90">
        <f t="shared" si="0"/>
        <v>0</v>
      </c>
      <c r="O37" s="123">
        <f>IF(L37="",0,IFERROR(IF($M$2="ESTUDO",BH37,N37)+INDEX(AUXILIAR!$AO$3:$AO$8,MATCH(L37,{0;2;5;10;20;50},1))*1440,IF(M37="ESTUDO",BH37,N37)))</f>
        <v>0</v>
      </c>
      <c r="P37" s="94">
        <f t="shared" si="1"/>
        <v>0</v>
      </c>
      <c r="Q37" s="94">
        <f t="shared" si="2"/>
        <v>0</v>
      </c>
      <c r="R37" s="91" t="s">
        <v>0</v>
      </c>
      <c r="S37" s="88">
        <f t="shared" si="3"/>
        <v>0</v>
      </c>
      <c r="T37" s="94">
        <f>((AM37/(1+AUXILIAR!$BJ$4))-((AM37/(1+AUXILIAR!$BJ$4))*AUXILIAR!$BK$4))-(((AM37/(1+AUXILIAR!$BJ$4))-((AM37/(1+AUXILIAR!$BJ$4))*AUXILIAR!$BK$4))*((AUXILIAR!$BL$4+AUXILIAR!$BM$4)))</f>
        <v>0</v>
      </c>
      <c r="U37" s="94">
        <f>((S37/(1+AUXILIAR!$BJ$7))-((S37/(1+AUXILIAR!$BJ$7))*AUXILIAR!$BK$7))-(((S37/(1+AUXILIAR!$BJ$7))-((S37/(1+AUXILIAR!$BJ$7))*AUXILIAR!$BK$7))*((AUXILIAR!$BL$7+AUXILIAR!$BM$7)))</f>
        <v>0</v>
      </c>
      <c r="V37" s="96">
        <f>AM37-(AM37/(1+AUXILIAR!$BJ$4))</f>
        <v>0</v>
      </c>
      <c r="W37" s="96">
        <f>(AM37-V37)*AUXILIAR!$BK$4</f>
        <v>0</v>
      </c>
      <c r="X37" s="96">
        <f>(AM37-V37-W37)*(AUXILIAR!$BL$4+AUXILIAR!$BM$4)</f>
        <v>0</v>
      </c>
      <c r="Y37" s="96">
        <f>X37-(X37/(1+AUXILIAR!$BJ$7))</f>
        <v>0</v>
      </c>
      <c r="Z37" s="96">
        <f>(S37-Y37)*AUXILIAR!$BK$7</f>
        <v>0</v>
      </c>
      <c r="AA37" s="96">
        <f>(S37-Y37-Z37)*(AUXILIAR!$BL$7+AUXILIAR!$BM$7)</f>
        <v>0</v>
      </c>
      <c r="AB37" s="97">
        <f t="shared" si="4"/>
        <v>0</v>
      </c>
      <c r="AC37" s="97">
        <f t="shared" si="5"/>
        <v>0</v>
      </c>
      <c r="AD37" s="97">
        <f t="shared" si="6"/>
        <v>0</v>
      </c>
      <c r="AE37" s="97">
        <f t="shared" si="24"/>
        <v>0</v>
      </c>
      <c r="AF37" s="97">
        <f t="shared" si="7"/>
        <v>0</v>
      </c>
      <c r="AG37" s="96">
        <f t="shared" si="8"/>
        <v>-1</v>
      </c>
      <c r="AH37" s="94">
        <f t="shared" si="25"/>
        <v>0</v>
      </c>
      <c r="AI37" s="98">
        <f t="shared" si="26"/>
        <v>0</v>
      </c>
      <c r="AJ37" s="94">
        <f t="shared" si="27"/>
        <v>0</v>
      </c>
      <c r="AK37" s="94">
        <f t="shared" si="28"/>
        <v>0</v>
      </c>
      <c r="AL37" s="94">
        <f>AUXILIAR!$BM$12</f>
        <v>1</v>
      </c>
      <c r="AM37" s="94">
        <f>IF($E$2="XADREZ",
     IFERROR(VLOOKUP(G37,AUXILIAR!AB:AC,2,TRUE),0),
     IF(AC34="SIM", 0, IFERROR(VLOOKUP(G37,AUXILIAR!AB:AC,2,TRUE),0))
)</f>
        <v>0</v>
      </c>
      <c r="AN37" s="124">
        <f t="shared" si="29"/>
        <v>0</v>
      </c>
      <c r="AO37" s="94">
        <f t="shared" si="9"/>
        <v>0</v>
      </c>
      <c r="AP37" s="94">
        <f t="shared" si="10"/>
        <v>0</v>
      </c>
      <c r="AQ37" s="124">
        <f>IFERROR(INDEX(AUXILIAR!$AG$3:$AG$28,MATCH(G37,AUXILIAR!$AH$3:$AH$28,1))*AM37,0)</f>
        <v>0</v>
      </c>
      <c r="AR37" s="99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1"/>
        <v/>
      </c>
      <c r="AT37" s="89" t="str">
        <f t="shared" si="12"/>
        <v/>
      </c>
      <c r="AU37" s="89" t="str">
        <f t="shared" si="13"/>
        <v/>
      </c>
      <c r="AV37" s="89" t="str">
        <f t="shared" si="14"/>
        <v/>
      </c>
      <c r="AW37" s="89" t="str">
        <f t="shared" si="15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16"/>
        <v>0</v>
      </c>
      <c r="AZ37" s="89">
        <f t="shared" si="17"/>
        <v>0</v>
      </c>
      <c r="BA37" s="116">
        <f t="shared" si="18"/>
        <v>0</v>
      </c>
      <c r="BB37" s="116">
        <f t="shared" si="19"/>
        <v>0</v>
      </c>
      <c r="BC37" s="116">
        <f t="shared" si="20"/>
        <v>0</v>
      </c>
      <c r="BD37" s="116">
        <f t="shared" si="34"/>
        <v>0</v>
      </c>
      <c r="BE37" s="89">
        <f t="shared" si="30"/>
        <v>0</v>
      </c>
      <c r="BF37" s="90">
        <f t="shared" si="31"/>
        <v>0.01</v>
      </c>
      <c r="BG37" s="90">
        <f t="shared" si="32"/>
        <v>3.3333333333333333E-2</v>
      </c>
      <c r="BH37" s="116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3">
        <v>1200</v>
      </c>
      <c r="L38" s="121" t="str">
        <f t="shared" si="22"/>
        <v>0</v>
      </c>
      <c r="M38" s="122">
        <f t="shared" si="23"/>
        <v>0</v>
      </c>
      <c r="N38" s="90">
        <f t="shared" si="0"/>
        <v>0</v>
      </c>
      <c r="O38" s="123">
        <f>IF(L38="",0,IFERROR(IF($M$2="ESTUDO",BH38,N38)+INDEX(AUXILIAR!$AO$3:$AO$8,MATCH(L38,{0;2;5;10;20;50},1))*1440,IF(M38="ESTUDO",BH38,N38)))</f>
        <v>0</v>
      </c>
      <c r="P38" s="94">
        <f t="shared" si="1"/>
        <v>0</v>
      </c>
      <c r="Q38" s="94">
        <f t="shared" si="2"/>
        <v>0</v>
      </c>
      <c r="R38" s="91" t="s">
        <v>0</v>
      </c>
      <c r="S38" s="88">
        <f t="shared" si="3"/>
        <v>0</v>
      </c>
      <c r="T38" s="94">
        <f>((AM38/(1+AUXILIAR!$BJ$4))-((AM38/(1+AUXILIAR!$BJ$4))*AUXILIAR!$BK$4))-(((AM38/(1+AUXILIAR!$BJ$4))-((AM38/(1+AUXILIAR!$BJ$4))*AUXILIAR!$BK$4))*((AUXILIAR!$BL$4+AUXILIAR!$BM$4)))</f>
        <v>0</v>
      </c>
      <c r="U38" s="94">
        <f>((S38/(1+AUXILIAR!$BJ$7))-((S38/(1+AUXILIAR!$BJ$7))*AUXILIAR!$BK$7))-(((S38/(1+AUXILIAR!$BJ$7))-((S38/(1+AUXILIAR!$BJ$7))*AUXILIAR!$BK$7))*((AUXILIAR!$BL$7+AUXILIAR!$BM$7)))</f>
        <v>0</v>
      </c>
      <c r="V38" s="96">
        <f>AM38-(AM38/(1+AUXILIAR!$BJ$4))</f>
        <v>0</v>
      </c>
      <c r="W38" s="96">
        <f>(AM38-V38)*AUXILIAR!$BK$4</f>
        <v>0</v>
      </c>
      <c r="X38" s="96">
        <f>(AM38-V38-W38)*(AUXILIAR!$BL$4+AUXILIAR!$BM$4)</f>
        <v>0</v>
      </c>
      <c r="Y38" s="96">
        <f>X38-(X38/(1+AUXILIAR!$BJ$7))</f>
        <v>0</v>
      </c>
      <c r="Z38" s="96">
        <f>(S38-Y38)*AUXILIAR!$BK$7</f>
        <v>0</v>
      </c>
      <c r="AA38" s="96">
        <f>(S38-Y38-Z38)*(AUXILIAR!$BL$7+AUXILIAR!$BM$7)</f>
        <v>0</v>
      </c>
      <c r="AB38" s="97">
        <f t="shared" si="4"/>
        <v>0</v>
      </c>
      <c r="AC38" s="97">
        <f t="shared" si="5"/>
        <v>0</v>
      </c>
      <c r="AD38" s="97">
        <f t="shared" si="6"/>
        <v>0</v>
      </c>
      <c r="AE38" s="97">
        <f t="shared" si="24"/>
        <v>0</v>
      </c>
      <c r="AF38" s="97">
        <f t="shared" si="7"/>
        <v>0</v>
      </c>
      <c r="AG38" s="96">
        <f t="shared" si="8"/>
        <v>-1</v>
      </c>
      <c r="AH38" s="94">
        <f t="shared" si="25"/>
        <v>0</v>
      </c>
      <c r="AI38" s="98">
        <f t="shared" si="26"/>
        <v>0</v>
      </c>
      <c r="AJ38" s="94">
        <f t="shared" si="27"/>
        <v>0</v>
      </c>
      <c r="AK38" s="94">
        <f t="shared" si="28"/>
        <v>0</v>
      </c>
      <c r="AL38" s="94">
        <f>AUXILIAR!$BM$12</f>
        <v>1</v>
      </c>
      <c r="AM38" s="94">
        <f>IF($E$2="XADREZ",
     IFERROR(VLOOKUP(G38,AUXILIAR!AB:AC,2,TRUE),0),
     IF(AC35="SIM", 0, IFERROR(VLOOKUP(G38,AUXILIAR!AB:AC,2,TRUE),0))
)</f>
        <v>0</v>
      </c>
      <c r="AN38" s="124">
        <f t="shared" si="29"/>
        <v>0</v>
      </c>
      <c r="AO38" s="94">
        <f t="shared" si="9"/>
        <v>0</v>
      </c>
      <c r="AP38" s="94">
        <f t="shared" si="10"/>
        <v>0</v>
      </c>
      <c r="AQ38" s="124">
        <f>IFERROR(INDEX(AUXILIAR!$AG$3:$AG$28,MATCH(G38,AUXILIAR!$AH$3:$AH$28,1))*AM38,0)</f>
        <v>0</v>
      </c>
      <c r="AR38" s="99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1"/>
        <v/>
      </c>
      <c r="AT38" s="89" t="str">
        <f t="shared" si="12"/>
        <v/>
      </c>
      <c r="AU38" s="89" t="str">
        <f t="shared" si="13"/>
        <v/>
      </c>
      <c r="AV38" s="89" t="str">
        <f t="shared" si="14"/>
        <v/>
      </c>
      <c r="AW38" s="89" t="str">
        <f t="shared" si="15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16"/>
        <v>0</v>
      </c>
      <c r="AZ38" s="89">
        <f t="shared" si="17"/>
        <v>0</v>
      </c>
      <c r="BA38" s="116">
        <f t="shared" si="18"/>
        <v>0</v>
      </c>
      <c r="BB38" s="116">
        <f t="shared" si="19"/>
        <v>0</v>
      </c>
      <c r="BC38" s="116">
        <f t="shared" si="20"/>
        <v>0</v>
      </c>
      <c r="BD38" s="116">
        <f t="shared" si="34"/>
        <v>0</v>
      </c>
      <c r="BE38" s="89">
        <f t="shared" si="30"/>
        <v>0</v>
      </c>
      <c r="BF38" s="90">
        <f t="shared" si="31"/>
        <v>0.01</v>
      </c>
      <c r="BG38" s="90">
        <f t="shared" si="32"/>
        <v>3.3333333333333333E-2</v>
      </c>
      <c r="BH38" s="116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3">
        <v>1200</v>
      </c>
      <c r="L39" s="121" t="str">
        <f t="shared" si="22"/>
        <v>0</v>
      </c>
      <c r="M39" s="122">
        <f t="shared" si="23"/>
        <v>0</v>
      </c>
      <c r="N39" s="90">
        <f t="shared" si="0"/>
        <v>0</v>
      </c>
      <c r="O39" s="123">
        <f>IF(L39="",0,IFERROR(IF($M$2="ESTUDO",BH39,N39)+INDEX(AUXILIAR!$AO$3:$AO$8,MATCH(L39,{0;2;5;10;20;50},1))*1440,IF(M39="ESTUDO",BH39,N39)))</f>
        <v>0</v>
      </c>
      <c r="P39" s="94">
        <f t="shared" si="1"/>
        <v>0</v>
      </c>
      <c r="Q39" s="94">
        <f t="shared" si="2"/>
        <v>0</v>
      </c>
      <c r="R39" s="91" t="s">
        <v>0</v>
      </c>
      <c r="S39" s="88">
        <f t="shared" si="3"/>
        <v>0</v>
      </c>
      <c r="T39" s="94">
        <f>((AM39/(1+AUXILIAR!$BJ$4))-((AM39/(1+AUXILIAR!$BJ$4))*AUXILIAR!$BK$4))-(((AM39/(1+AUXILIAR!$BJ$4))-((AM39/(1+AUXILIAR!$BJ$4))*AUXILIAR!$BK$4))*((AUXILIAR!$BL$4+AUXILIAR!$BM$4)))</f>
        <v>0</v>
      </c>
      <c r="U39" s="94">
        <f>((S39/(1+AUXILIAR!$BJ$7))-((S39/(1+AUXILIAR!$BJ$7))*AUXILIAR!$BK$7))-(((S39/(1+AUXILIAR!$BJ$7))-((S39/(1+AUXILIAR!$BJ$7))*AUXILIAR!$BK$7))*((AUXILIAR!$BL$7+AUXILIAR!$BM$7)))</f>
        <v>0</v>
      </c>
      <c r="V39" s="96">
        <f>AM39-(AM39/(1+AUXILIAR!$BJ$4))</f>
        <v>0</v>
      </c>
      <c r="W39" s="96">
        <f>(AM39-V39)*AUXILIAR!$BK$4</f>
        <v>0</v>
      </c>
      <c r="X39" s="96">
        <f>(AM39-V39-W39)*(AUXILIAR!$BL$4+AUXILIAR!$BM$4)</f>
        <v>0</v>
      </c>
      <c r="Y39" s="96">
        <f>X39-(X39/(1+AUXILIAR!$BJ$7))</f>
        <v>0</v>
      </c>
      <c r="Z39" s="96">
        <f>(S39-Y39)*AUXILIAR!$BK$7</f>
        <v>0</v>
      </c>
      <c r="AA39" s="96">
        <f>(S39-Y39-Z39)*(AUXILIAR!$BL$7+AUXILIAR!$BM$7)</f>
        <v>0</v>
      </c>
      <c r="AB39" s="97">
        <f t="shared" si="4"/>
        <v>0</v>
      </c>
      <c r="AC39" s="97">
        <f t="shared" si="5"/>
        <v>0</v>
      </c>
      <c r="AD39" s="97">
        <f t="shared" si="6"/>
        <v>0</v>
      </c>
      <c r="AE39" s="97">
        <f t="shared" si="24"/>
        <v>0</v>
      </c>
      <c r="AF39" s="97">
        <f t="shared" si="7"/>
        <v>0</v>
      </c>
      <c r="AG39" s="96">
        <f t="shared" si="8"/>
        <v>-1</v>
      </c>
      <c r="AH39" s="94">
        <f t="shared" si="25"/>
        <v>0</v>
      </c>
      <c r="AI39" s="98">
        <f t="shared" si="26"/>
        <v>0</v>
      </c>
      <c r="AJ39" s="94">
        <f t="shared" si="27"/>
        <v>0</v>
      </c>
      <c r="AK39" s="94">
        <f t="shared" si="28"/>
        <v>0</v>
      </c>
      <c r="AL39" s="94">
        <f>AUXILIAR!$BM$12</f>
        <v>1</v>
      </c>
      <c r="AM39" s="94">
        <f>IF($E$2="XADREZ",
     IFERROR(VLOOKUP(G39,AUXILIAR!AB:AC,2,TRUE),0),
     IF(AC36="SIM", 0, IFERROR(VLOOKUP(G39,AUXILIAR!AB:AC,2,TRUE),0))
)</f>
        <v>0</v>
      </c>
      <c r="AN39" s="124">
        <f t="shared" si="29"/>
        <v>0</v>
      </c>
      <c r="AO39" s="94">
        <f t="shared" si="9"/>
        <v>0</v>
      </c>
      <c r="AP39" s="94">
        <f t="shared" si="10"/>
        <v>0</v>
      </c>
      <c r="AQ39" s="124">
        <f>IFERROR(INDEX(AUXILIAR!$AG$3:$AG$28,MATCH(G39,AUXILIAR!$AH$3:$AH$28,1))*AM39,0)</f>
        <v>0</v>
      </c>
      <c r="AR39" s="99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1"/>
        <v/>
      </c>
      <c r="AT39" s="89" t="str">
        <f t="shared" si="12"/>
        <v/>
      </c>
      <c r="AU39" s="89" t="str">
        <f t="shared" si="13"/>
        <v/>
      </c>
      <c r="AV39" s="89" t="str">
        <f t="shared" si="14"/>
        <v/>
      </c>
      <c r="AW39" s="89" t="str">
        <f t="shared" si="15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16"/>
        <v>0</v>
      </c>
      <c r="AZ39" s="89">
        <f t="shared" si="17"/>
        <v>0</v>
      </c>
      <c r="BA39" s="116">
        <f t="shared" si="18"/>
        <v>0</v>
      </c>
      <c r="BB39" s="116">
        <f t="shared" si="19"/>
        <v>0</v>
      </c>
      <c r="BC39" s="116">
        <f t="shared" si="20"/>
        <v>0</v>
      </c>
      <c r="BD39" s="116">
        <f t="shared" si="34"/>
        <v>0</v>
      </c>
      <c r="BE39" s="89">
        <f t="shared" si="30"/>
        <v>0</v>
      </c>
      <c r="BF39" s="90">
        <f t="shared" si="31"/>
        <v>0.01</v>
      </c>
      <c r="BG39" s="90">
        <f t="shared" si="32"/>
        <v>3.3333333333333333E-2</v>
      </c>
      <c r="BH39" s="116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3">
        <v>1200</v>
      </c>
      <c r="L40" s="121" t="str">
        <f t="shared" si="22"/>
        <v>0</v>
      </c>
      <c r="M40" s="122">
        <f t="shared" si="23"/>
        <v>0</v>
      </c>
      <c r="N40" s="90">
        <f t="shared" si="0"/>
        <v>0</v>
      </c>
      <c r="O40" s="123">
        <f>IF(L40="",0,IFERROR(IF($M$2="ESTUDO",BH40,N40)+INDEX(AUXILIAR!$AO$3:$AO$8,MATCH(L40,{0;2;5;10;20;50},1))*1440,IF(M40="ESTUDO",BH40,N40)))</f>
        <v>0</v>
      </c>
      <c r="P40" s="94">
        <f t="shared" si="1"/>
        <v>0</v>
      </c>
      <c r="Q40" s="94">
        <f t="shared" si="2"/>
        <v>0</v>
      </c>
      <c r="R40" s="91" t="s">
        <v>0</v>
      </c>
      <c r="S40" s="88">
        <f t="shared" si="3"/>
        <v>0</v>
      </c>
      <c r="T40" s="94">
        <f>((AM40/(1+AUXILIAR!$BJ$4))-((AM40/(1+AUXILIAR!$BJ$4))*AUXILIAR!$BK$4))-(((AM40/(1+AUXILIAR!$BJ$4))-((AM40/(1+AUXILIAR!$BJ$4))*AUXILIAR!$BK$4))*((AUXILIAR!$BL$4+AUXILIAR!$BM$4)))</f>
        <v>0</v>
      </c>
      <c r="U40" s="94">
        <f>((S40/(1+AUXILIAR!$BJ$7))-((S40/(1+AUXILIAR!$BJ$7))*AUXILIAR!$BK$7))-(((S40/(1+AUXILIAR!$BJ$7))-((S40/(1+AUXILIAR!$BJ$7))*AUXILIAR!$BK$7))*((AUXILIAR!$BL$7+AUXILIAR!$BM$7)))</f>
        <v>0</v>
      </c>
      <c r="V40" s="96">
        <f>AM40-(AM40/(1+AUXILIAR!$BJ$4))</f>
        <v>0</v>
      </c>
      <c r="W40" s="96">
        <f>(AM40-V40)*AUXILIAR!$BK$4</f>
        <v>0</v>
      </c>
      <c r="X40" s="96">
        <f>(AM40-V40-W40)*(AUXILIAR!$BL$4+AUXILIAR!$BM$4)</f>
        <v>0</v>
      </c>
      <c r="Y40" s="96">
        <f>X40-(X40/(1+AUXILIAR!$BJ$7))</f>
        <v>0</v>
      </c>
      <c r="Z40" s="96">
        <f>(S40-Y40)*AUXILIAR!$BK$7</f>
        <v>0</v>
      </c>
      <c r="AA40" s="96">
        <f>(S40-Y40-Z40)*(AUXILIAR!$BL$7+AUXILIAR!$BM$7)</f>
        <v>0</v>
      </c>
      <c r="AB40" s="97">
        <f t="shared" si="4"/>
        <v>0</v>
      </c>
      <c r="AC40" s="97">
        <f t="shared" si="5"/>
        <v>0</v>
      </c>
      <c r="AD40" s="97">
        <f t="shared" si="6"/>
        <v>0</v>
      </c>
      <c r="AE40" s="97">
        <f t="shared" si="24"/>
        <v>0</v>
      </c>
      <c r="AF40" s="97">
        <f t="shared" si="7"/>
        <v>0</v>
      </c>
      <c r="AG40" s="96">
        <f t="shared" si="8"/>
        <v>-1</v>
      </c>
      <c r="AH40" s="94">
        <f t="shared" si="25"/>
        <v>0</v>
      </c>
      <c r="AI40" s="98">
        <f t="shared" si="26"/>
        <v>0</v>
      </c>
      <c r="AJ40" s="94">
        <f t="shared" si="27"/>
        <v>0</v>
      </c>
      <c r="AK40" s="94">
        <f t="shared" si="28"/>
        <v>0</v>
      </c>
      <c r="AL40" s="94">
        <f>AUXILIAR!$BM$12</f>
        <v>1</v>
      </c>
      <c r="AM40" s="94">
        <f>IF($E$2="XADREZ",
     IFERROR(VLOOKUP(G40,AUXILIAR!AB:AC,2,TRUE),0),
     IF(AC37="SIM", 0, IFERROR(VLOOKUP(G40,AUXILIAR!AB:AC,2,TRUE),0))
)</f>
        <v>0</v>
      </c>
      <c r="AN40" s="124">
        <f t="shared" si="29"/>
        <v>0</v>
      </c>
      <c r="AO40" s="94">
        <f t="shared" si="9"/>
        <v>0</v>
      </c>
      <c r="AP40" s="94">
        <f t="shared" si="10"/>
        <v>0</v>
      </c>
      <c r="AQ40" s="124">
        <f>IFERROR(INDEX(AUXILIAR!$AG$3:$AG$28,MATCH(G40,AUXILIAR!$AH$3:$AH$28,1))*AM40,0)</f>
        <v>0</v>
      </c>
      <c r="AR40" s="99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1"/>
        <v/>
      </c>
      <c r="AT40" s="89" t="str">
        <f t="shared" si="12"/>
        <v/>
      </c>
      <c r="AU40" s="89" t="str">
        <f t="shared" si="13"/>
        <v/>
      </c>
      <c r="AV40" s="89" t="str">
        <f t="shared" si="14"/>
        <v/>
      </c>
      <c r="AW40" s="89" t="str">
        <f t="shared" si="15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16"/>
        <v>0</v>
      </c>
      <c r="AZ40" s="89">
        <f t="shared" si="17"/>
        <v>0</v>
      </c>
      <c r="BA40" s="116">
        <f t="shared" si="18"/>
        <v>0</v>
      </c>
      <c r="BB40" s="116">
        <f t="shared" si="19"/>
        <v>0</v>
      </c>
      <c r="BC40" s="116">
        <f t="shared" si="20"/>
        <v>0</v>
      </c>
      <c r="BD40" s="116">
        <f t="shared" si="34"/>
        <v>0</v>
      </c>
      <c r="BE40" s="89">
        <f t="shared" si="30"/>
        <v>0</v>
      </c>
      <c r="BF40" s="90">
        <f t="shared" si="31"/>
        <v>0.01</v>
      </c>
      <c r="BG40" s="90">
        <f t="shared" si="32"/>
        <v>3.3333333333333333E-2</v>
      </c>
      <c r="BH40" s="116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3">
        <v>1200</v>
      </c>
      <c r="L41" s="121" t="str">
        <f t="shared" si="22"/>
        <v>0</v>
      </c>
      <c r="M41" s="122">
        <f t="shared" si="23"/>
        <v>0</v>
      </c>
      <c r="N41" s="90">
        <f t="shared" si="0"/>
        <v>0</v>
      </c>
      <c r="O41" s="123">
        <f>IF(L41="",0,IFERROR(IF($M$2="ESTUDO",BH41,N41)+INDEX(AUXILIAR!$AO$3:$AO$8,MATCH(L41,{0;2;5;10;20;50},1))*1440,IF(M41="ESTUDO",BH41,N41)))</f>
        <v>0</v>
      </c>
      <c r="P41" s="94">
        <f t="shared" si="1"/>
        <v>0</v>
      </c>
      <c r="Q41" s="94">
        <f t="shared" si="2"/>
        <v>0</v>
      </c>
      <c r="R41" s="91" t="s">
        <v>0</v>
      </c>
      <c r="S41" s="88">
        <f t="shared" si="3"/>
        <v>0</v>
      </c>
      <c r="T41" s="94">
        <f>((AM41/(1+AUXILIAR!$BJ$4))-((AM41/(1+AUXILIAR!$BJ$4))*AUXILIAR!$BK$4))-(((AM41/(1+AUXILIAR!$BJ$4))-((AM41/(1+AUXILIAR!$BJ$4))*AUXILIAR!$BK$4))*((AUXILIAR!$BL$4+AUXILIAR!$BM$4)))</f>
        <v>0</v>
      </c>
      <c r="U41" s="94">
        <f>((S41/(1+AUXILIAR!$BJ$7))-((S41/(1+AUXILIAR!$BJ$7))*AUXILIAR!$BK$7))-(((S41/(1+AUXILIAR!$BJ$7))-((S41/(1+AUXILIAR!$BJ$7))*AUXILIAR!$BK$7))*((AUXILIAR!$BL$7+AUXILIAR!$BM$7)))</f>
        <v>0</v>
      </c>
      <c r="V41" s="96">
        <f>AM41-(AM41/(1+AUXILIAR!$BJ$4))</f>
        <v>0</v>
      </c>
      <c r="W41" s="96">
        <f>(AM41-V41)*AUXILIAR!$BK$4</f>
        <v>0</v>
      </c>
      <c r="X41" s="96">
        <f>(AM41-V41-W41)*(AUXILIAR!$BL$4+AUXILIAR!$BM$4)</f>
        <v>0</v>
      </c>
      <c r="Y41" s="96">
        <f>X41-(X41/(1+AUXILIAR!$BJ$7))</f>
        <v>0</v>
      </c>
      <c r="Z41" s="96">
        <f>(S41-Y41)*AUXILIAR!$BK$7</f>
        <v>0</v>
      </c>
      <c r="AA41" s="96">
        <f>(S41-Y41-Z41)*(AUXILIAR!$BL$7+AUXILIAR!$BM$7)</f>
        <v>0</v>
      </c>
      <c r="AB41" s="97">
        <f t="shared" si="4"/>
        <v>0</v>
      </c>
      <c r="AC41" s="97">
        <f t="shared" si="5"/>
        <v>0</v>
      </c>
      <c r="AD41" s="97">
        <f t="shared" si="6"/>
        <v>0</v>
      </c>
      <c r="AE41" s="97">
        <f t="shared" si="24"/>
        <v>0</v>
      </c>
      <c r="AF41" s="97">
        <f t="shared" si="7"/>
        <v>0</v>
      </c>
      <c r="AG41" s="96">
        <f t="shared" si="8"/>
        <v>-1</v>
      </c>
      <c r="AH41" s="94">
        <f t="shared" si="25"/>
        <v>0</v>
      </c>
      <c r="AI41" s="98">
        <f t="shared" si="26"/>
        <v>0</v>
      </c>
      <c r="AJ41" s="94">
        <f t="shared" si="27"/>
        <v>0</v>
      </c>
      <c r="AK41" s="94">
        <f t="shared" si="28"/>
        <v>0</v>
      </c>
      <c r="AL41" s="94">
        <f>AUXILIAR!$BM$12</f>
        <v>1</v>
      </c>
      <c r="AM41" s="94">
        <f>IF($E$2="XADREZ",
     IFERROR(VLOOKUP(G41,AUXILIAR!AB:AC,2,TRUE),0),
     IF(AC38="SIM", 0, IFERROR(VLOOKUP(G41,AUXILIAR!AB:AC,2,TRUE),0))
)</f>
        <v>0</v>
      </c>
      <c r="AN41" s="124">
        <f t="shared" si="29"/>
        <v>0</v>
      </c>
      <c r="AO41" s="94">
        <f t="shared" si="9"/>
        <v>0</v>
      </c>
      <c r="AP41" s="94">
        <f t="shared" si="10"/>
        <v>0</v>
      </c>
      <c r="AQ41" s="124">
        <f>IFERROR(INDEX(AUXILIAR!$AG$3:$AG$28,MATCH(G41,AUXILIAR!$AH$3:$AH$28,1))*AM41,0)</f>
        <v>0</v>
      </c>
      <c r="AR41" s="99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1"/>
        <v/>
      </c>
      <c r="AT41" s="89" t="str">
        <f t="shared" si="12"/>
        <v/>
      </c>
      <c r="AU41" s="89" t="str">
        <f t="shared" si="13"/>
        <v/>
      </c>
      <c r="AV41" s="89" t="str">
        <f t="shared" si="14"/>
        <v/>
      </c>
      <c r="AW41" s="89" t="str">
        <f t="shared" si="15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16"/>
        <v>0</v>
      </c>
      <c r="AZ41" s="89">
        <f t="shared" si="17"/>
        <v>0</v>
      </c>
      <c r="BA41" s="116">
        <f t="shared" si="18"/>
        <v>0</v>
      </c>
      <c r="BB41" s="116">
        <f t="shared" si="19"/>
        <v>0</v>
      </c>
      <c r="BC41" s="116">
        <f t="shared" si="20"/>
        <v>0</v>
      </c>
      <c r="BD41" s="116">
        <f t="shared" si="34"/>
        <v>0</v>
      </c>
      <c r="BE41" s="89">
        <f t="shared" si="30"/>
        <v>0</v>
      </c>
      <c r="BF41" s="90">
        <f t="shared" si="31"/>
        <v>0.01</v>
      </c>
      <c r="BG41" s="90">
        <f t="shared" si="32"/>
        <v>3.3333333333333333E-2</v>
      </c>
      <c r="BH41" s="116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3">
        <v>1200</v>
      </c>
      <c r="L42" s="121" t="str">
        <f t="shared" si="22"/>
        <v>0</v>
      </c>
      <c r="M42" s="122">
        <f t="shared" si="23"/>
        <v>0</v>
      </c>
      <c r="N42" s="90">
        <f t="shared" si="0"/>
        <v>0</v>
      </c>
      <c r="O42" s="123">
        <f>IF(L42="",0,IFERROR(IF($M$2="ESTUDO",BH42,N42)+INDEX(AUXILIAR!$AO$3:$AO$8,MATCH(L42,{0;2;5;10;20;50},1))*1440,IF(M42="ESTUDO",BH42,N42)))</f>
        <v>0</v>
      </c>
      <c r="P42" s="94">
        <f t="shared" si="1"/>
        <v>0</v>
      </c>
      <c r="Q42" s="94">
        <f t="shared" si="2"/>
        <v>0</v>
      </c>
      <c r="R42" s="91" t="s">
        <v>0</v>
      </c>
      <c r="S42" s="88">
        <f t="shared" si="3"/>
        <v>0</v>
      </c>
      <c r="T42" s="94">
        <f>((AM42/(1+AUXILIAR!$BJ$4))-((AM42/(1+AUXILIAR!$BJ$4))*AUXILIAR!$BK$4))-(((AM42/(1+AUXILIAR!$BJ$4))-((AM42/(1+AUXILIAR!$BJ$4))*AUXILIAR!$BK$4))*((AUXILIAR!$BL$4+AUXILIAR!$BM$4)))</f>
        <v>0</v>
      </c>
      <c r="U42" s="94">
        <f>((S42/(1+AUXILIAR!$BJ$7))-((S42/(1+AUXILIAR!$BJ$7))*AUXILIAR!$BK$7))-(((S42/(1+AUXILIAR!$BJ$7))-((S42/(1+AUXILIAR!$BJ$7))*AUXILIAR!$BK$7))*((AUXILIAR!$BL$7+AUXILIAR!$BM$7)))</f>
        <v>0</v>
      </c>
      <c r="V42" s="96">
        <f>AM42-(AM42/(1+AUXILIAR!$BJ$4))</f>
        <v>0</v>
      </c>
      <c r="W42" s="96">
        <f>(AM42-V42)*AUXILIAR!$BK$4</f>
        <v>0</v>
      </c>
      <c r="X42" s="96">
        <f>(AM42-V42-W42)*(AUXILIAR!$BL$4+AUXILIAR!$BM$4)</f>
        <v>0</v>
      </c>
      <c r="Y42" s="96">
        <f>X42-(X42/(1+AUXILIAR!$BJ$7))</f>
        <v>0</v>
      </c>
      <c r="Z42" s="96">
        <f>(S42-Y42)*AUXILIAR!$BK$7</f>
        <v>0</v>
      </c>
      <c r="AA42" s="96">
        <f>(S42-Y42-Z42)*(AUXILIAR!$BL$7+AUXILIAR!$BM$7)</f>
        <v>0</v>
      </c>
      <c r="AB42" s="97">
        <f t="shared" si="4"/>
        <v>0</v>
      </c>
      <c r="AC42" s="97">
        <f t="shared" si="5"/>
        <v>0</v>
      </c>
      <c r="AD42" s="97">
        <f t="shared" si="6"/>
        <v>0</v>
      </c>
      <c r="AE42" s="97">
        <f t="shared" si="24"/>
        <v>0</v>
      </c>
      <c r="AF42" s="97">
        <f t="shared" si="7"/>
        <v>0</v>
      </c>
      <c r="AG42" s="96">
        <f t="shared" si="8"/>
        <v>-1</v>
      </c>
      <c r="AH42" s="94">
        <f t="shared" si="25"/>
        <v>0</v>
      </c>
      <c r="AI42" s="98">
        <f t="shared" si="26"/>
        <v>0</v>
      </c>
      <c r="AJ42" s="94">
        <f t="shared" si="27"/>
        <v>0</v>
      </c>
      <c r="AK42" s="94">
        <f t="shared" si="28"/>
        <v>0</v>
      </c>
      <c r="AL42" s="94">
        <f>AUXILIAR!$BM$12</f>
        <v>1</v>
      </c>
      <c r="AM42" s="94">
        <f>IF($E$2="XADREZ",
     IFERROR(VLOOKUP(G42,AUXILIAR!AB:AC,2,TRUE),0),
     IF(AC39="SIM", 0, IFERROR(VLOOKUP(G42,AUXILIAR!AB:AC,2,TRUE),0))
)</f>
        <v>0</v>
      </c>
      <c r="AN42" s="124">
        <f t="shared" si="29"/>
        <v>0</v>
      </c>
      <c r="AO42" s="94">
        <f t="shared" si="9"/>
        <v>0</v>
      </c>
      <c r="AP42" s="94">
        <f t="shared" si="10"/>
        <v>0</v>
      </c>
      <c r="AQ42" s="124">
        <f>IFERROR(INDEX(AUXILIAR!$AG$3:$AG$28,MATCH(G42,AUXILIAR!$AH$3:$AH$28,1))*AM42,0)</f>
        <v>0</v>
      </c>
      <c r="AR42" s="99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1"/>
        <v/>
      </c>
      <c r="AT42" s="89" t="str">
        <f t="shared" si="12"/>
        <v/>
      </c>
      <c r="AU42" s="89" t="str">
        <f t="shared" si="13"/>
        <v/>
      </c>
      <c r="AV42" s="89" t="str">
        <f t="shared" si="14"/>
        <v/>
      </c>
      <c r="AW42" s="89" t="str">
        <f t="shared" si="15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16"/>
        <v>0</v>
      </c>
      <c r="AZ42" s="89">
        <f t="shared" si="17"/>
        <v>0</v>
      </c>
      <c r="BA42" s="116">
        <f t="shared" si="18"/>
        <v>0</v>
      </c>
      <c r="BB42" s="116">
        <f t="shared" si="19"/>
        <v>0</v>
      </c>
      <c r="BC42" s="116">
        <f t="shared" si="20"/>
        <v>0</v>
      </c>
      <c r="BD42" s="116">
        <f t="shared" si="34"/>
        <v>0</v>
      </c>
      <c r="BE42" s="89">
        <f t="shared" si="30"/>
        <v>0</v>
      </c>
      <c r="BF42" s="90">
        <f t="shared" si="31"/>
        <v>0.01</v>
      </c>
      <c r="BG42" s="90">
        <f t="shared" si="32"/>
        <v>3.3333333333333333E-2</v>
      </c>
      <c r="BH42" s="116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3">
        <v>1200</v>
      </c>
      <c r="L43" s="121" t="str">
        <f t="shared" si="22"/>
        <v>0</v>
      </c>
      <c r="M43" s="122">
        <f t="shared" si="23"/>
        <v>0</v>
      </c>
      <c r="N43" s="90">
        <f t="shared" si="0"/>
        <v>0</v>
      </c>
      <c r="O43" s="123">
        <f>IF(L43="",0,IFERROR(IF($M$2="ESTUDO",BH43,N43)+INDEX(AUXILIAR!$AO$3:$AO$8,MATCH(L43,{0;2;5;10;20;50},1))*1440,IF(M43="ESTUDO",BH43,N43)))</f>
        <v>0</v>
      </c>
      <c r="P43" s="94">
        <f t="shared" si="1"/>
        <v>0</v>
      </c>
      <c r="Q43" s="94">
        <f t="shared" si="2"/>
        <v>0</v>
      </c>
      <c r="R43" s="91" t="s">
        <v>0</v>
      </c>
      <c r="S43" s="88">
        <f t="shared" si="3"/>
        <v>0</v>
      </c>
      <c r="T43" s="94">
        <f>((AM43/(1+AUXILIAR!$BJ$4))-((AM43/(1+AUXILIAR!$BJ$4))*AUXILIAR!$BK$4))-(((AM43/(1+AUXILIAR!$BJ$4))-((AM43/(1+AUXILIAR!$BJ$4))*AUXILIAR!$BK$4))*((AUXILIAR!$BL$4+AUXILIAR!$BM$4)))</f>
        <v>0</v>
      </c>
      <c r="U43" s="94">
        <f>((S43/(1+AUXILIAR!$BJ$7))-((S43/(1+AUXILIAR!$BJ$7))*AUXILIAR!$BK$7))-(((S43/(1+AUXILIAR!$BJ$7))-((S43/(1+AUXILIAR!$BJ$7))*AUXILIAR!$BK$7))*((AUXILIAR!$BL$7+AUXILIAR!$BM$7)))</f>
        <v>0</v>
      </c>
      <c r="V43" s="96">
        <f>AM43-(AM43/(1+AUXILIAR!$BJ$4))</f>
        <v>0</v>
      </c>
      <c r="W43" s="96">
        <f>(AM43-V43)*AUXILIAR!$BK$4</f>
        <v>0</v>
      </c>
      <c r="X43" s="96">
        <f>(AM43-V43-W43)*(AUXILIAR!$BL$4+AUXILIAR!$BM$4)</f>
        <v>0</v>
      </c>
      <c r="Y43" s="96">
        <f>X43-(X43/(1+AUXILIAR!$BJ$7))</f>
        <v>0</v>
      </c>
      <c r="Z43" s="96">
        <f>(S43-Y43)*AUXILIAR!$BK$7</f>
        <v>0</v>
      </c>
      <c r="AA43" s="96">
        <f>(S43-Y43-Z43)*(AUXILIAR!$BL$7+AUXILIAR!$BM$7)</f>
        <v>0</v>
      </c>
      <c r="AB43" s="97">
        <f t="shared" si="4"/>
        <v>0</v>
      </c>
      <c r="AC43" s="97">
        <f t="shared" si="5"/>
        <v>0</v>
      </c>
      <c r="AD43" s="97">
        <f t="shared" si="6"/>
        <v>0</v>
      </c>
      <c r="AE43" s="97">
        <f t="shared" si="24"/>
        <v>0</v>
      </c>
      <c r="AF43" s="97">
        <f t="shared" si="7"/>
        <v>0</v>
      </c>
      <c r="AG43" s="96">
        <f t="shared" si="8"/>
        <v>-1</v>
      </c>
      <c r="AH43" s="94">
        <f t="shared" si="25"/>
        <v>0</v>
      </c>
      <c r="AI43" s="98">
        <f t="shared" si="26"/>
        <v>0</v>
      </c>
      <c r="AJ43" s="94">
        <f t="shared" si="27"/>
        <v>0</v>
      </c>
      <c r="AK43" s="94">
        <f t="shared" si="28"/>
        <v>0</v>
      </c>
      <c r="AL43" s="94">
        <f>AUXILIAR!$BM$12</f>
        <v>1</v>
      </c>
      <c r="AM43" s="94">
        <f>IF($E$2="XADREZ",
     IFERROR(VLOOKUP(G43,AUXILIAR!AB:AC,2,TRUE),0),
     IF(AC40="SIM", 0, IFERROR(VLOOKUP(G43,AUXILIAR!AB:AC,2,TRUE),0))
)</f>
        <v>0</v>
      </c>
      <c r="AN43" s="124">
        <f t="shared" si="29"/>
        <v>0</v>
      </c>
      <c r="AO43" s="94">
        <f t="shared" si="9"/>
        <v>0</v>
      </c>
      <c r="AP43" s="94">
        <f t="shared" si="10"/>
        <v>0</v>
      </c>
      <c r="AQ43" s="124">
        <f>IFERROR(INDEX(AUXILIAR!$AG$3:$AG$28,MATCH(G43,AUXILIAR!$AH$3:$AH$28,1))*AM43,0)</f>
        <v>0</v>
      </c>
      <c r="AR43" s="99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1"/>
        <v/>
      </c>
      <c r="AT43" s="89" t="str">
        <f t="shared" si="12"/>
        <v/>
      </c>
      <c r="AU43" s="89" t="str">
        <f t="shared" si="13"/>
        <v/>
      </c>
      <c r="AV43" s="89" t="str">
        <f t="shared" si="14"/>
        <v/>
      </c>
      <c r="AW43" s="89" t="str">
        <f t="shared" si="15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16"/>
        <v>0</v>
      </c>
      <c r="AZ43" s="89">
        <f t="shared" si="17"/>
        <v>0</v>
      </c>
      <c r="BA43" s="116">
        <f t="shared" si="18"/>
        <v>0</v>
      </c>
      <c r="BB43" s="116">
        <f t="shared" si="19"/>
        <v>0</v>
      </c>
      <c r="BC43" s="116">
        <f t="shared" si="20"/>
        <v>0</v>
      </c>
      <c r="BD43" s="116">
        <f t="shared" si="34"/>
        <v>0</v>
      </c>
      <c r="BE43" s="89">
        <f t="shared" si="30"/>
        <v>0</v>
      </c>
      <c r="BF43" s="90">
        <f t="shared" si="31"/>
        <v>0.01</v>
      </c>
      <c r="BG43" s="90">
        <f t="shared" si="32"/>
        <v>3.3333333333333333E-2</v>
      </c>
      <c r="BH43" s="116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3">
        <v>1200</v>
      </c>
      <c r="L44" s="121" t="str">
        <f t="shared" si="22"/>
        <v>0</v>
      </c>
      <c r="M44" s="122">
        <f t="shared" si="23"/>
        <v>0</v>
      </c>
      <c r="N44" s="90">
        <f t="shared" si="0"/>
        <v>0</v>
      </c>
      <c r="O44" s="123">
        <f>IF(L44="",0,IFERROR(IF($M$2="ESTUDO",BH44,N44)+INDEX(AUXILIAR!$AO$3:$AO$8,MATCH(L44,{0;2;5;10;20;50},1))*1440,IF(M44="ESTUDO",BH44,N44)))</f>
        <v>0</v>
      </c>
      <c r="P44" s="94">
        <f t="shared" si="1"/>
        <v>0</v>
      </c>
      <c r="Q44" s="94">
        <f t="shared" si="2"/>
        <v>0</v>
      </c>
      <c r="R44" s="91" t="s">
        <v>0</v>
      </c>
      <c r="S44" s="88">
        <f t="shared" si="3"/>
        <v>0</v>
      </c>
      <c r="T44" s="94">
        <f>((AM44/(1+AUXILIAR!$BJ$4))-((AM44/(1+AUXILIAR!$BJ$4))*AUXILIAR!$BK$4))-(((AM44/(1+AUXILIAR!$BJ$4))-((AM44/(1+AUXILIAR!$BJ$4))*AUXILIAR!$BK$4))*((AUXILIAR!$BL$4+AUXILIAR!$BM$4)))</f>
        <v>0</v>
      </c>
      <c r="U44" s="94">
        <f>((S44/(1+AUXILIAR!$BJ$7))-((S44/(1+AUXILIAR!$BJ$7))*AUXILIAR!$BK$7))-(((S44/(1+AUXILIAR!$BJ$7))-((S44/(1+AUXILIAR!$BJ$7))*AUXILIAR!$BK$7))*((AUXILIAR!$BL$7+AUXILIAR!$BM$7)))</f>
        <v>0</v>
      </c>
      <c r="V44" s="96">
        <f>AM44-(AM44/(1+AUXILIAR!$BJ$4))</f>
        <v>0</v>
      </c>
      <c r="W44" s="96">
        <f>(AM44-V44)*AUXILIAR!$BK$4</f>
        <v>0</v>
      </c>
      <c r="X44" s="96">
        <f>(AM44-V44-W44)*(AUXILIAR!$BL$4+AUXILIAR!$BM$4)</f>
        <v>0</v>
      </c>
      <c r="Y44" s="96">
        <f>X44-(X44/(1+AUXILIAR!$BJ$7))</f>
        <v>0</v>
      </c>
      <c r="Z44" s="96">
        <f>(S44-Y44)*AUXILIAR!$BK$7</f>
        <v>0</v>
      </c>
      <c r="AA44" s="96">
        <f>(S44-Y44-Z44)*(AUXILIAR!$BL$7+AUXILIAR!$BM$7)</f>
        <v>0</v>
      </c>
      <c r="AB44" s="97">
        <f t="shared" si="4"/>
        <v>0</v>
      </c>
      <c r="AC44" s="97">
        <f t="shared" si="5"/>
        <v>0</v>
      </c>
      <c r="AD44" s="97">
        <f t="shared" si="6"/>
        <v>0</v>
      </c>
      <c r="AE44" s="97">
        <f t="shared" si="24"/>
        <v>0</v>
      </c>
      <c r="AF44" s="97">
        <f t="shared" si="7"/>
        <v>0</v>
      </c>
      <c r="AG44" s="96">
        <f t="shared" si="8"/>
        <v>-1</v>
      </c>
      <c r="AH44" s="94">
        <f t="shared" si="25"/>
        <v>0</v>
      </c>
      <c r="AI44" s="98">
        <f t="shared" si="26"/>
        <v>0</v>
      </c>
      <c r="AJ44" s="94">
        <f t="shared" si="27"/>
        <v>0</v>
      </c>
      <c r="AK44" s="94">
        <f t="shared" si="28"/>
        <v>0</v>
      </c>
      <c r="AL44" s="94">
        <f>AUXILIAR!$BM$12</f>
        <v>1</v>
      </c>
      <c r="AM44" s="94">
        <f>IF($E$2="XADREZ",
     IFERROR(VLOOKUP(G44,AUXILIAR!AB:AC,2,TRUE),0),
     IF(AC41="SIM", 0, IFERROR(VLOOKUP(G44,AUXILIAR!AB:AC,2,TRUE),0))
)</f>
        <v>0</v>
      </c>
      <c r="AN44" s="124">
        <f t="shared" si="29"/>
        <v>0</v>
      </c>
      <c r="AO44" s="94">
        <f t="shared" si="9"/>
        <v>0</v>
      </c>
      <c r="AP44" s="94">
        <f t="shared" si="10"/>
        <v>0</v>
      </c>
      <c r="AQ44" s="124">
        <f>IFERROR(INDEX(AUXILIAR!$AG$3:$AG$28,MATCH(G44,AUXILIAR!$AH$3:$AH$28,1))*AM44,0)</f>
        <v>0</v>
      </c>
      <c r="AR44" s="99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1"/>
        <v/>
      </c>
      <c r="AT44" s="89" t="str">
        <f t="shared" si="12"/>
        <v/>
      </c>
      <c r="AU44" s="89" t="str">
        <f t="shared" si="13"/>
        <v/>
      </c>
      <c r="AV44" s="89" t="str">
        <f t="shared" si="14"/>
        <v/>
      </c>
      <c r="AW44" s="89" t="str">
        <f t="shared" si="15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16"/>
        <v>0</v>
      </c>
      <c r="AZ44" s="89">
        <f t="shared" si="17"/>
        <v>0</v>
      </c>
      <c r="BA44" s="116">
        <f t="shared" si="18"/>
        <v>0</v>
      </c>
      <c r="BB44" s="116">
        <f t="shared" si="19"/>
        <v>0</v>
      </c>
      <c r="BC44" s="116">
        <f t="shared" si="20"/>
        <v>0</v>
      </c>
      <c r="BD44" s="116">
        <f t="shared" si="34"/>
        <v>0</v>
      </c>
      <c r="BE44" s="89">
        <f t="shared" si="30"/>
        <v>0</v>
      </c>
      <c r="BF44" s="90">
        <f t="shared" si="31"/>
        <v>0.01</v>
      </c>
      <c r="BG44" s="90">
        <f t="shared" si="32"/>
        <v>3.3333333333333333E-2</v>
      </c>
      <c r="BH44" s="116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3">
        <v>1200</v>
      </c>
      <c r="L45" s="121" t="str">
        <f t="shared" si="22"/>
        <v>0</v>
      </c>
      <c r="M45" s="122">
        <f t="shared" si="23"/>
        <v>0</v>
      </c>
      <c r="N45" s="90">
        <f t="shared" si="0"/>
        <v>0</v>
      </c>
      <c r="O45" s="123">
        <f>IF(L45="",0,IFERROR(IF($M$2="ESTUDO",BH45,N45)+INDEX(AUXILIAR!$AO$3:$AO$8,MATCH(L45,{0;2;5;10;20;50},1))*1440,IF(M45="ESTUDO",BH45,N45)))</f>
        <v>0</v>
      </c>
      <c r="P45" s="94">
        <f t="shared" si="1"/>
        <v>0</v>
      </c>
      <c r="Q45" s="94">
        <f t="shared" si="2"/>
        <v>0</v>
      </c>
      <c r="R45" s="91" t="s">
        <v>0</v>
      </c>
      <c r="S45" s="88">
        <f t="shared" si="3"/>
        <v>0</v>
      </c>
      <c r="T45" s="94">
        <f>((AM45/(1+AUXILIAR!$BJ$4))-((AM45/(1+AUXILIAR!$BJ$4))*AUXILIAR!$BK$4))-(((AM45/(1+AUXILIAR!$BJ$4))-((AM45/(1+AUXILIAR!$BJ$4))*AUXILIAR!$BK$4))*((AUXILIAR!$BL$4+AUXILIAR!$BM$4)))</f>
        <v>0</v>
      </c>
      <c r="U45" s="94">
        <f>((S45/(1+AUXILIAR!$BJ$7))-((S45/(1+AUXILIAR!$BJ$7))*AUXILIAR!$BK$7))-(((S45/(1+AUXILIAR!$BJ$7))-((S45/(1+AUXILIAR!$BJ$7))*AUXILIAR!$BK$7))*((AUXILIAR!$BL$7+AUXILIAR!$BM$7)))</f>
        <v>0</v>
      </c>
      <c r="V45" s="96">
        <f>AM45-(AM45/(1+AUXILIAR!$BJ$4))</f>
        <v>0</v>
      </c>
      <c r="W45" s="96">
        <f>(AM45-V45)*AUXILIAR!$BK$4</f>
        <v>0</v>
      </c>
      <c r="X45" s="96">
        <f>(AM45-V45-W45)*(AUXILIAR!$BL$4+AUXILIAR!$BM$4)</f>
        <v>0</v>
      </c>
      <c r="Y45" s="96">
        <f>X45-(X45/(1+AUXILIAR!$BJ$7))</f>
        <v>0</v>
      </c>
      <c r="Z45" s="96">
        <f>(S45-Y45)*AUXILIAR!$BK$7</f>
        <v>0</v>
      </c>
      <c r="AA45" s="96">
        <f>(S45-Y45-Z45)*(AUXILIAR!$BL$7+AUXILIAR!$BM$7)</f>
        <v>0</v>
      </c>
      <c r="AB45" s="97">
        <f t="shared" si="4"/>
        <v>0</v>
      </c>
      <c r="AC45" s="97">
        <f t="shared" si="5"/>
        <v>0</v>
      </c>
      <c r="AD45" s="97">
        <f t="shared" si="6"/>
        <v>0</v>
      </c>
      <c r="AE45" s="97">
        <f t="shared" si="24"/>
        <v>0</v>
      </c>
      <c r="AF45" s="97">
        <f t="shared" si="7"/>
        <v>0</v>
      </c>
      <c r="AG45" s="96">
        <f t="shared" si="8"/>
        <v>-1</v>
      </c>
      <c r="AH45" s="94">
        <f t="shared" si="25"/>
        <v>0</v>
      </c>
      <c r="AI45" s="98">
        <f t="shared" si="26"/>
        <v>0</v>
      </c>
      <c r="AJ45" s="94">
        <f t="shared" si="27"/>
        <v>0</v>
      </c>
      <c r="AK45" s="94">
        <f t="shared" si="28"/>
        <v>0</v>
      </c>
      <c r="AL45" s="94">
        <f>AUXILIAR!$BM$12</f>
        <v>1</v>
      </c>
      <c r="AM45" s="94">
        <f>IF($E$2="XADREZ",
     IFERROR(VLOOKUP(G45,AUXILIAR!AB:AC,2,TRUE),0),
     IF(AC42="SIM", 0, IFERROR(VLOOKUP(G45,AUXILIAR!AB:AC,2,TRUE),0))
)</f>
        <v>0</v>
      </c>
      <c r="AN45" s="124">
        <f t="shared" si="29"/>
        <v>0</v>
      </c>
      <c r="AO45" s="94">
        <f t="shared" si="9"/>
        <v>0</v>
      </c>
      <c r="AP45" s="94">
        <f t="shared" si="10"/>
        <v>0</v>
      </c>
      <c r="AQ45" s="124">
        <f>IFERROR(INDEX(AUXILIAR!$AG$3:$AG$28,MATCH(G45,AUXILIAR!$AH$3:$AH$28,1))*AM45,0)</f>
        <v>0</v>
      </c>
      <c r="AR45" s="99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1"/>
        <v/>
      </c>
      <c r="AT45" s="89" t="str">
        <f t="shared" si="12"/>
        <v/>
      </c>
      <c r="AU45" s="89" t="str">
        <f t="shared" si="13"/>
        <v/>
      </c>
      <c r="AV45" s="89" t="str">
        <f t="shared" si="14"/>
        <v/>
      </c>
      <c r="AW45" s="89" t="str">
        <f t="shared" si="15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16"/>
        <v>0</v>
      </c>
      <c r="AZ45" s="89">
        <f t="shared" si="17"/>
        <v>0</v>
      </c>
      <c r="BA45" s="116">
        <f t="shared" si="18"/>
        <v>0</v>
      </c>
      <c r="BB45" s="116">
        <f t="shared" si="19"/>
        <v>0</v>
      </c>
      <c r="BC45" s="116">
        <f t="shared" si="20"/>
        <v>0</v>
      </c>
      <c r="BD45" s="116">
        <f t="shared" si="34"/>
        <v>0</v>
      </c>
      <c r="BE45" s="89">
        <f t="shared" si="30"/>
        <v>0</v>
      </c>
      <c r="BF45" s="90">
        <f t="shared" si="31"/>
        <v>0.01</v>
      </c>
      <c r="BG45" s="90">
        <f t="shared" si="32"/>
        <v>3.3333333333333333E-2</v>
      </c>
      <c r="BH45" s="116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3">
        <v>1200</v>
      </c>
      <c r="L46" s="121" t="str">
        <f t="shared" si="22"/>
        <v>0</v>
      </c>
      <c r="M46" s="122">
        <f t="shared" si="23"/>
        <v>0</v>
      </c>
      <c r="N46" s="90">
        <f t="shared" ref="N46:N77" si="35">IFERROR((AU46/AX46)+BC46,0)</f>
        <v>0</v>
      </c>
      <c r="O46" s="123">
        <f>IF(L46="",0,IFERROR(IF($M$2="ESTUDO",BH46,N46)+INDEX(AUXILIAR!$AO$3:$AO$8,MATCH(L46,{0;2;5;10;20;50},1))*1440,IF(M46="ESTUDO",BH46,N46)))</f>
        <v>0</v>
      </c>
      <c r="P46" s="94">
        <f t="shared" ref="P46:P77" si="36">IFERROR(Q46/C46,0)</f>
        <v>0</v>
      </c>
      <c r="Q46" s="94">
        <f t="shared" ref="Q46:Q77" si="37">IFERROR($D$2 * ROUND(M46, 2), 0)</f>
        <v>0</v>
      </c>
      <c r="R46" s="91" t="s">
        <v>0</v>
      </c>
      <c r="S46" s="88">
        <f t="shared" ref="S46:S77" si="38">IF(A46="",0,$D$2)</f>
        <v>0</v>
      </c>
      <c r="T46" s="94">
        <f>((AM46/(1+AUXILIAR!$BJ$4))-((AM46/(1+AUXILIAR!$BJ$4))*AUXILIAR!$BK$4))-(((AM46/(1+AUXILIAR!$BJ$4))-((AM46/(1+AUXILIAR!$BJ$4))*AUXILIAR!$BK$4))*((AUXILIAR!$BL$4+AUXILIAR!$BM$4)))</f>
        <v>0</v>
      </c>
      <c r="U46" s="94">
        <f>((S46/(1+AUXILIAR!$BJ$7))-((S46/(1+AUXILIAR!$BJ$7))*AUXILIAR!$BK$7))-(((S46/(1+AUXILIAR!$BJ$7))-((S46/(1+AUXILIAR!$BJ$7))*AUXILIAR!$BK$7))*((AUXILIAR!$BL$7+AUXILIAR!$BM$7)))</f>
        <v>0</v>
      </c>
      <c r="V46" s="96">
        <f>AM46-(AM46/(1+AUXILIAR!$BJ$4))</f>
        <v>0</v>
      </c>
      <c r="W46" s="96">
        <f>(AM46-V46)*AUXILIAR!$BK$4</f>
        <v>0</v>
      </c>
      <c r="X46" s="96">
        <f>(AM46-V46-W46)*(AUXILIAR!$BL$4+AUXILIAR!$BM$4)</f>
        <v>0</v>
      </c>
      <c r="Y46" s="96">
        <f>X46-(X46/(1+AUXILIAR!$BJ$7))</f>
        <v>0</v>
      </c>
      <c r="Z46" s="96">
        <f>(S46-Y46)*AUXILIAR!$BK$7</f>
        <v>0</v>
      </c>
      <c r="AA46" s="96">
        <f>(S46-Y46-Z46)*(AUXILIAR!$BL$7+AUXILIAR!$BM$7)</f>
        <v>0</v>
      </c>
      <c r="AB46" s="97">
        <f t="shared" ref="AB46:AB77" si="39">V46-Y46</f>
        <v>0</v>
      </c>
      <c r="AC46" s="97">
        <f t="shared" ref="AC46:AC77" si="40">W46-Z46</f>
        <v>0</v>
      </c>
      <c r="AD46" s="97">
        <f t="shared" ref="AD46:AD77" si="41">X46-AA46</f>
        <v>0</v>
      </c>
      <c r="AE46" s="97">
        <f t="shared" ref="AE46:AE77" si="42">AB46+AC46+AD46</f>
        <v>0</v>
      </c>
      <c r="AF46" s="97">
        <f t="shared" ref="AF46:AF77" si="43">IFERROR(S46*M46,0)</f>
        <v>0</v>
      </c>
      <c r="AG46" s="96">
        <f t="shared" ref="AG46:AG77" si="44">IFERROR((S46-AM46+AE46-AO46-AP46-AQ46-AL46),0)</f>
        <v>-1</v>
      </c>
      <c r="AH46" s="94">
        <f t="shared" ref="AH46:AH77" si="45">IFERROR(AG46*M46,0)</f>
        <v>0</v>
      </c>
      <c r="AI46" s="98">
        <f t="shared" ref="AI46:AI77" si="46">IFERROR(AG46/S46,0)</f>
        <v>0</v>
      </c>
      <c r="AJ46" s="94">
        <f t="shared" ref="AJ46:AJ77" si="47">IF(G46="",0,(AM46+AL46+AQ46+AP46+AO46+AN46))</f>
        <v>0</v>
      </c>
      <c r="AK46" s="94">
        <f t="shared" ref="AK46:AK77" si="48">IFERROR(AJ46*M46,0)</f>
        <v>0</v>
      </c>
      <c r="AL46" s="94">
        <f>AUXILIAR!$BM$12</f>
        <v>1</v>
      </c>
      <c r="AM46" s="94">
        <f>IF($E$2="XADREZ",
     IFERROR(VLOOKUP(G46,AUXILIAR!AB:AC,2,TRUE),0),
     IF(AC43="SIM", 0, IFERROR(VLOOKUP(G46,AUXILIAR!AB:AC,2,TRUE),0))
)</f>
        <v>0</v>
      </c>
      <c r="AN46" s="124">
        <f t="shared" si="29"/>
        <v>0</v>
      </c>
      <c r="AO46" s="94">
        <f t="shared" ref="AO46:AO77" si="49">IFERROR(S46*$B$2,0)</f>
        <v>0</v>
      </c>
      <c r="AP46" s="94">
        <f t="shared" ref="AP46:AP77" si="50">IF(G46="",0,$C$2)</f>
        <v>0</v>
      </c>
      <c r="AQ46" s="124">
        <f>IFERROR(INDEX(AUXILIAR!$AG$3:$AG$28,MATCH(G46,AUXILIAR!$AH$3:$AH$28,1))*AM46,0)</f>
        <v>0</v>
      </c>
      <c r="AR46" s="99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1">IF(OR(D46="Q",D46="R"),(H46*I46),IF(D46="T",(H46*I46)/2,IF(D46="TP",((H46+I46)*J46)/2,IF(D46="C",PI()*((H46/2)^2),""))))</f>
        <v/>
      </c>
      <c r="AT46" s="89" t="str">
        <f t="shared" ref="AT46:AT77" si="52">IFERROR(AS46*C46,"")</f>
        <v/>
      </c>
      <c r="AU46" s="89" t="str">
        <f t="shared" ref="AU46:AU77" si="53">IFERROR(AV46*C46,"")</f>
        <v/>
      </c>
      <c r="AV46" s="89" t="str">
        <f t="shared" ref="AV46:AV77" si="54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5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6">IF(OR(E46=0,F46=0),0,PI()*F46*E46)</f>
        <v>0</v>
      </c>
      <c r="AZ46" s="89">
        <f t="shared" ref="AZ46:AZ77" si="57">IFERROR(
IF(OR(E46=0,F46=0),0,
   IF($R46="LASER",
      IF($F46&lt;=$G46*1.5,$AX46*0.7,$AX46),
   IF($R46="PLASMA",
      IF($F46&lt;=$G46*2,$AX46*0.5,$AX46),
   0))),
0)</f>
        <v>0</v>
      </c>
      <c r="BA46" s="116">
        <f t="shared" ref="BA46:BA77" si="58">IFERROR(IF($AY46=0,0,$AY46/$AZ46),0)</f>
        <v>0</v>
      </c>
      <c r="BB46" s="116">
        <f t="shared" ref="BB46:BB77" si="59">IF(OR(E46=0,F46=0),0,
 IF(F46&lt;=4.75,5/60,
 IF(F46&lt;=9.5,7/60,
 10/60)))</f>
        <v>0</v>
      </c>
      <c r="BC46" s="116">
        <f t="shared" ref="BC46:BC77" si="60">IF(OR(E46=0,F46=0),0,$BA46+($BB46*$E46))</f>
        <v>0</v>
      </c>
      <c r="BD46" s="116">
        <f t="shared" si="34"/>
        <v>0</v>
      </c>
      <c r="BE46" s="89">
        <f t="shared" si="30"/>
        <v>0</v>
      </c>
      <c r="BF46" s="90">
        <f t="shared" si="31"/>
        <v>0.01</v>
      </c>
      <c r="BG46" s="90">
        <f t="shared" si="32"/>
        <v>3.3333333333333333E-2</v>
      </c>
      <c r="BH46" s="116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3">
        <v>1200</v>
      </c>
      <c r="L47" s="121" t="str">
        <f t="shared" si="22"/>
        <v>0</v>
      </c>
      <c r="M47" s="122">
        <f t="shared" si="23"/>
        <v>0</v>
      </c>
      <c r="N47" s="90">
        <f t="shared" si="35"/>
        <v>0</v>
      </c>
      <c r="O47" s="123">
        <f>IF(L47="",0,IFERROR(IF($M$2="ESTUDO",BH47,N47)+INDEX(AUXILIAR!$AO$3:$AO$8,MATCH(L47,{0;2;5;10;20;50},1))*1440,IF(M47="ESTUDO",BH47,N47)))</f>
        <v>0</v>
      </c>
      <c r="P47" s="94">
        <f t="shared" si="36"/>
        <v>0</v>
      </c>
      <c r="Q47" s="94">
        <f t="shared" si="37"/>
        <v>0</v>
      </c>
      <c r="R47" s="91" t="s">
        <v>0</v>
      </c>
      <c r="S47" s="88">
        <f t="shared" si="38"/>
        <v>0</v>
      </c>
      <c r="T47" s="94">
        <f>((AM47/(1+AUXILIAR!$BJ$4))-((AM47/(1+AUXILIAR!$BJ$4))*AUXILIAR!$BK$4))-(((AM47/(1+AUXILIAR!$BJ$4))-((AM47/(1+AUXILIAR!$BJ$4))*AUXILIAR!$BK$4))*((AUXILIAR!$BL$4+AUXILIAR!$BM$4)))</f>
        <v>0</v>
      </c>
      <c r="U47" s="94">
        <f>((S47/(1+AUXILIAR!$BJ$7))-((S47/(1+AUXILIAR!$BJ$7))*AUXILIAR!$BK$7))-(((S47/(1+AUXILIAR!$BJ$7))-((S47/(1+AUXILIAR!$BJ$7))*AUXILIAR!$BK$7))*((AUXILIAR!$BL$7+AUXILIAR!$BM$7)))</f>
        <v>0</v>
      </c>
      <c r="V47" s="96">
        <f>AM47-(AM47/(1+AUXILIAR!$BJ$4))</f>
        <v>0</v>
      </c>
      <c r="W47" s="96">
        <f>(AM47-V47)*AUXILIAR!$BK$4</f>
        <v>0</v>
      </c>
      <c r="X47" s="96">
        <f>(AM47-V47-W47)*(AUXILIAR!$BL$4+AUXILIAR!$BM$4)</f>
        <v>0</v>
      </c>
      <c r="Y47" s="96">
        <f>X47-(X47/(1+AUXILIAR!$BJ$7))</f>
        <v>0</v>
      </c>
      <c r="Z47" s="96">
        <f>(S47-Y47)*AUXILIAR!$BK$7</f>
        <v>0</v>
      </c>
      <c r="AA47" s="96">
        <f>(S47-Y47-Z47)*(AUXILIAR!$BL$7+AUXILIAR!$BM$7)</f>
        <v>0</v>
      </c>
      <c r="AB47" s="97">
        <f t="shared" si="39"/>
        <v>0</v>
      </c>
      <c r="AC47" s="97">
        <f t="shared" si="40"/>
        <v>0</v>
      </c>
      <c r="AD47" s="97">
        <f t="shared" si="41"/>
        <v>0</v>
      </c>
      <c r="AE47" s="97">
        <f t="shared" si="42"/>
        <v>0</v>
      </c>
      <c r="AF47" s="97">
        <f t="shared" si="43"/>
        <v>0</v>
      </c>
      <c r="AG47" s="96">
        <f t="shared" si="44"/>
        <v>-1</v>
      </c>
      <c r="AH47" s="94">
        <f t="shared" si="45"/>
        <v>0</v>
      </c>
      <c r="AI47" s="98">
        <f t="shared" si="46"/>
        <v>0</v>
      </c>
      <c r="AJ47" s="94">
        <f t="shared" si="47"/>
        <v>0</v>
      </c>
      <c r="AK47" s="94">
        <f t="shared" si="48"/>
        <v>0</v>
      </c>
      <c r="AL47" s="94">
        <f>AUXILIAR!$BM$12</f>
        <v>1</v>
      </c>
      <c r="AM47" s="94">
        <f>IF($E$2="XADREZ",
     IFERROR(VLOOKUP(G47,AUXILIAR!AB:AC,2,TRUE),0),
     IF(AC44="SIM", 0, IFERROR(VLOOKUP(G47,AUXILIAR!AB:AC,2,TRUE),0))
)</f>
        <v>0</v>
      </c>
      <c r="AN47" s="124">
        <f t="shared" si="29"/>
        <v>0</v>
      </c>
      <c r="AO47" s="94">
        <f t="shared" si="49"/>
        <v>0</v>
      </c>
      <c r="AP47" s="94">
        <f t="shared" si="50"/>
        <v>0</v>
      </c>
      <c r="AQ47" s="124">
        <f>IFERROR(INDEX(AUXILIAR!$AG$3:$AG$28,MATCH(G47,AUXILIAR!$AH$3:$AH$28,1))*AM47,0)</f>
        <v>0</v>
      </c>
      <c r="AR47" s="99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1"/>
        <v/>
      </c>
      <c r="AT47" s="89" t="str">
        <f t="shared" si="52"/>
        <v/>
      </c>
      <c r="AU47" s="89" t="str">
        <f t="shared" si="53"/>
        <v/>
      </c>
      <c r="AV47" s="89" t="str">
        <f t="shared" si="54"/>
        <v/>
      </c>
      <c r="AW47" s="89" t="str">
        <f t="shared" si="55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6"/>
        <v>0</v>
      </c>
      <c r="AZ47" s="89">
        <f t="shared" si="57"/>
        <v>0</v>
      </c>
      <c r="BA47" s="116">
        <f t="shared" si="58"/>
        <v>0</v>
      </c>
      <c r="BB47" s="116">
        <f t="shared" si="59"/>
        <v>0</v>
      </c>
      <c r="BC47" s="116">
        <f t="shared" si="60"/>
        <v>0</v>
      </c>
      <c r="BD47" s="116">
        <f t="shared" si="34"/>
        <v>0</v>
      </c>
      <c r="BE47" s="89">
        <f t="shared" si="30"/>
        <v>0</v>
      </c>
      <c r="BF47" s="90">
        <f t="shared" si="31"/>
        <v>0.01</v>
      </c>
      <c r="BG47" s="90">
        <f t="shared" si="32"/>
        <v>3.3333333333333333E-2</v>
      </c>
      <c r="BH47" s="116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3">
        <v>1200</v>
      </c>
      <c r="L48" s="121" t="str">
        <f t="shared" si="22"/>
        <v>0</v>
      </c>
      <c r="M48" s="122">
        <f t="shared" si="23"/>
        <v>0</v>
      </c>
      <c r="N48" s="90">
        <f t="shared" si="35"/>
        <v>0</v>
      </c>
      <c r="O48" s="123">
        <f>IF(L48="",0,IFERROR(IF($M$2="ESTUDO",BH48,N48)+INDEX(AUXILIAR!$AO$3:$AO$8,MATCH(L48,{0;2;5;10;20;50},1))*1440,IF(M48="ESTUDO",BH48,N48)))</f>
        <v>0</v>
      </c>
      <c r="P48" s="94">
        <f t="shared" si="36"/>
        <v>0</v>
      </c>
      <c r="Q48" s="94">
        <f t="shared" si="37"/>
        <v>0</v>
      </c>
      <c r="R48" s="91" t="s">
        <v>0</v>
      </c>
      <c r="S48" s="88">
        <f t="shared" si="38"/>
        <v>0</v>
      </c>
      <c r="T48" s="94">
        <f>((AM48/(1+AUXILIAR!$BJ$4))-((AM48/(1+AUXILIAR!$BJ$4))*AUXILIAR!$BK$4))-(((AM48/(1+AUXILIAR!$BJ$4))-((AM48/(1+AUXILIAR!$BJ$4))*AUXILIAR!$BK$4))*((AUXILIAR!$BL$4+AUXILIAR!$BM$4)))</f>
        <v>0</v>
      </c>
      <c r="U48" s="94">
        <f>((S48/(1+AUXILIAR!$BJ$7))-((S48/(1+AUXILIAR!$BJ$7))*AUXILIAR!$BK$7))-(((S48/(1+AUXILIAR!$BJ$7))-((S48/(1+AUXILIAR!$BJ$7))*AUXILIAR!$BK$7))*((AUXILIAR!$BL$7+AUXILIAR!$BM$7)))</f>
        <v>0</v>
      </c>
      <c r="V48" s="96">
        <f>AM48-(AM48/(1+AUXILIAR!$BJ$4))</f>
        <v>0</v>
      </c>
      <c r="W48" s="96">
        <f>(AM48-V48)*AUXILIAR!$BK$4</f>
        <v>0</v>
      </c>
      <c r="X48" s="96">
        <f>(AM48-V48-W48)*(AUXILIAR!$BL$4+AUXILIAR!$BM$4)</f>
        <v>0</v>
      </c>
      <c r="Y48" s="96">
        <f>X48-(X48/(1+AUXILIAR!$BJ$7))</f>
        <v>0</v>
      </c>
      <c r="Z48" s="96">
        <f>(S48-Y48)*AUXILIAR!$BK$7</f>
        <v>0</v>
      </c>
      <c r="AA48" s="96">
        <f>(S48-Y48-Z48)*(AUXILIAR!$BL$7+AUXILIAR!$BM$7)</f>
        <v>0</v>
      </c>
      <c r="AB48" s="97">
        <f t="shared" si="39"/>
        <v>0</v>
      </c>
      <c r="AC48" s="97">
        <f t="shared" si="40"/>
        <v>0</v>
      </c>
      <c r="AD48" s="97">
        <f t="shared" si="41"/>
        <v>0</v>
      </c>
      <c r="AE48" s="97">
        <f t="shared" si="42"/>
        <v>0</v>
      </c>
      <c r="AF48" s="97">
        <f t="shared" si="43"/>
        <v>0</v>
      </c>
      <c r="AG48" s="96">
        <f t="shared" si="44"/>
        <v>-1</v>
      </c>
      <c r="AH48" s="94">
        <f t="shared" si="45"/>
        <v>0</v>
      </c>
      <c r="AI48" s="98">
        <f t="shared" si="46"/>
        <v>0</v>
      </c>
      <c r="AJ48" s="94">
        <f t="shared" si="47"/>
        <v>0</v>
      </c>
      <c r="AK48" s="94">
        <f t="shared" si="48"/>
        <v>0</v>
      </c>
      <c r="AL48" s="94">
        <f>AUXILIAR!$BM$12</f>
        <v>1</v>
      </c>
      <c r="AM48" s="94">
        <f>IF($E$2="XADREZ",
     IFERROR(VLOOKUP(G48,AUXILIAR!AB:AC,2,TRUE),0),
     IF(AC45="SIM", 0, IFERROR(VLOOKUP(G48,AUXILIAR!AB:AC,2,TRUE),0))
)</f>
        <v>0</v>
      </c>
      <c r="AN48" s="124">
        <f t="shared" si="29"/>
        <v>0</v>
      </c>
      <c r="AO48" s="94">
        <f t="shared" si="49"/>
        <v>0</v>
      </c>
      <c r="AP48" s="94">
        <f t="shared" si="50"/>
        <v>0</v>
      </c>
      <c r="AQ48" s="124">
        <f>IFERROR(INDEX(AUXILIAR!$AG$3:$AG$28,MATCH(G48,AUXILIAR!$AH$3:$AH$28,1))*AM48,0)</f>
        <v>0</v>
      </c>
      <c r="AR48" s="99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1"/>
        <v/>
      </c>
      <c r="AT48" s="89" t="str">
        <f t="shared" si="52"/>
        <v/>
      </c>
      <c r="AU48" s="89" t="str">
        <f t="shared" si="53"/>
        <v/>
      </c>
      <c r="AV48" s="89" t="str">
        <f t="shared" si="54"/>
        <v/>
      </c>
      <c r="AW48" s="89" t="str">
        <f t="shared" si="55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6"/>
        <v>0</v>
      </c>
      <c r="AZ48" s="89">
        <f t="shared" si="57"/>
        <v>0</v>
      </c>
      <c r="BA48" s="116">
        <f t="shared" si="58"/>
        <v>0</v>
      </c>
      <c r="BB48" s="116">
        <f t="shared" si="59"/>
        <v>0</v>
      </c>
      <c r="BC48" s="116">
        <f t="shared" si="60"/>
        <v>0</v>
      </c>
      <c r="BD48" s="116">
        <f t="shared" si="34"/>
        <v>0</v>
      </c>
      <c r="BE48" s="89">
        <f t="shared" si="30"/>
        <v>0</v>
      </c>
      <c r="BF48" s="90">
        <f t="shared" si="31"/>
        <v>0.01</v>
      </c>
      <c r="BG48" s="90">
        <f t="shared" si="32"/>
        <v>3.3333333333333333E-2</v>
      </c>
      <c r="BH48" s="116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3">
        <v>1200</v>
      </c>
      <c r="L49" s="121" t="str">
        <f t="shared" si="22"/>
        <v>0</v>
      </c>
      <c r="M49" s="122">
        <f t="shared" si="23"/>
        <v>0</v>
      </c>
      <c r="N49" s="90">
        <f t="shared" si="35"/>
        <v>0</v>
      </c>
      <c r="O49" s="123">
        <f>IF(L49="",0,IFERROR(IF($M$2="ESTUDO",BH49,N49)+INDEX(AUXILIAR!$AO$3:$AO$8,MATCH(L49,{0;2;5;10;20;50},1))*1440,IF(M49="ESTUDO",BH49,N49)))</f>
        <v>0</v>
      </c>
      <c r="P49" s="94">
        <f t="shared" si="36"/>
        <v>0</v>
      </c>
      <c r="Q49" s="94">
        <f t="shared" si="37"/>
        <v>0</v>
      </c>
      <c r="R49" s="91" t="s">
        <v>0</v>
      </c>
      <c r="S49" s="88">
        <f t="shared" si="38"/>
        <v>0</v>
      </c>
      <c r="T49" s="94">
        <f>((AM49/(1+AUXILIAR!$BJ$4))-((AM49/(1+AUXILIAR!$BJ$4))*AUXILIAR!$BK$4))-(((AM49/(1+AUXILIAR!$BJ$4))-((AM49/(1+AUXILIAR!$BJ$4))*AUXILIAR!$BK$4))*((AUXILIAR!$BL$4+AUXILIAR!$BM$4)))</f>
        <v>0</v>
      </c>
      <c r="U49" s="94">
        <f>((S49/(1+AUXILIAR!$BJ$7))-((S49/(1+AUXILIAR!$BJ$7))*AUXILIAR!$BK$7))-(((S49/(1+AUXILIAR!$BJ$7))-((S49/(1+AUXILIAR!$BJ$7))*AUXILIAR!$BK$7))*((AUXILIAR!$BL$7+AUXILIAR!$BM$7)))</f>
        <v>0</v>
      </c>
      <c r="V49" s="96">
        <f>AM49-(AM49/(1+AUXILIAR!$BJ$4))</f>
        <v>0</v>
      </c>
      <c r="W49" s="96">
        <f>(AM49-V49)*AUXILIAR!$BK$4</f>
        <v>0</v>
      </c>
      <c r="X49" s="96">
        <f>(AM49-V49-W49)*(AUXILIAR!$BL$4+AUXILIAR!$BM$4)</f>
        <v>0</v>
      </c>
      <c r="Y49" s="96">
        <f>X49-(X49/(1+AUXILIAR!$BJ$7))</f>
        <v>0</v>
      </c>
      <c r="Z49" s="96">
        <f>(S49-Y49)*AUXILIAR!$BK$7</f>
        <v>0</v>
      </c>
      <c r="AA49" s="96">
        <f>(S49-Y49-Z49)*(AUXILIAR!$BL$7+AUXILIAR!$BM$7)</f>
        <v>0</v>
      </c>
      <c r="AB49" s="97">
        <f t="shared" si="39"/>
        <v>0</v>
      </c>
      <c r="AC49" s="97">
        <f t="shared" si="40"/>
        <v>0</v>
      </c>
      <c r="AD49" s="97">
        <f t="shared" si="41"/>
        <v>0</v>
      </c>
      <c r="AE49" s="97">
        <f t="shared" si="42"/>
        <v>0</v>
      </c>
      <c r="AF49" s="97">
        <f t="shared" si="43"/>
        <v>0</v>
      </c>
      <c r="AG49" s="96">
        <f t="shared" si="44"/>
        <v>-1</v>
      </c>
      <c r="AH49" s="94">
        <f t="shared" si="45"/>
        <v>0</v>
      </c>
      <c r="AI49" s="98">
        <f t="shared" si="46"/>
        <v>0</v>
      </c>
      <c r="AJ49" s="94">
        <f t="shared" si="47"/>
        <v>0</v>
      </c>
      <c r="AK49" s="94">
        <f t="shared" si="48"/>
        <v>0</v>
      </c>
      <c r="AL49" s="94">
        <f>AUXILIAR!$BM$12</f>
        <v>1</v>
      </c>
      <c r="AM49" s="94">
        <f>IF($E$2="XADREZ",
     IFERROR(VLOOKUP(G49,AUXILIAR!AB:AC,2,TRUE),0),
     IF(AC46="SIM", 0, IFERROR(VLOOKUP(G49,AUXILIAR!AB:AC,2,TRUE),0))
)</f>
        <v>0</v>
      </c>
      <c r="AN49" s="124">
        <f t="shared" si="29"/>
        <v>0</v>
      </c>
      <c r="AO49" s="94">
        <f t="shared" si="49"/>
        <v>0</v>
      </c>
      <c r="AP49" s="94">
        <f t="shared" si="50"/>
        <v>0</v>
      </c>
      <c r="AQ49" s="124">
        <f>IFERROR(INDEX(AUXILIAR!$AG$3:$AG$28,MATCH(G49,AUXILIAR!$AH$3:$AH$28,1))*AM49,0)</f>
        <v>0</v>
      </c>
      <c r="AR49" s="99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1"/>
        <v/>
      </c>
      <c r="AT49" s="89" t="str">
        <f t="shared" si="52"/>
        <v/>
      </c>
      <c r="AU49" s="89" t="str">
        <f t="shared" si="53"/>
        <v/>
      </c>
      <c r="AV49" s="89" t="str">
        <f t="shared" si="54"/>
        <v/>
      </c>
      <c r="AW49" s="89" t="str">
        <f t="shared" si="55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6"/>
        <v>0</v>
      </c>
      <c r="AZ49" s="89">
        <f t="shared" si="57"/>
        <v>0</v>
      </c>
      <c r="BA49" s="116">
        <f t="shared" si="58"/>
        <v>0</v>
      </c>
      <c r="BB49" s="116">
        <f t="shared" si="59"/>
        <v>0</v>
      </c>
      <c r="BC49" s="116">
        <f t="shared" si="60"/>
        <v>0</v>
      </c>
      <c r="BD49" s="116">
        <f t="shared" si="34"/>
        <v>0</v>
      </c>
      <c r="BE49" s="89">
        <f t="shared" si="30"/>
        <v>0</v>
      </c>
      <c r="BF49" s="90">
        <f t="shared" si="31"/>
        <v>0.01</v>
      </c>
      <c r="BG49" s="90">
        <f t="shared" si="32"/>
        <v>3.3333333333333333E-2</v>
      </c>
      <c r="BH49" s="116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3">
        <v>1200</v>
      </c>
      <c r="L50" s="121" t="str">
        <f t="shared" si="22"/>
        <v>0</v>
      </c>
      <c r="M50" s="122">
        <f t="shared" si="23"/>
        <v>0</v>
      </c>
      <c r="N50" s="90">
        <f t="shared" si="35"/>
        <v>0</v>
      </c>
      <c r="O50" s="123">
        <f>IF(L50="",0,IFERROR(IF($M$2="ESTUDO",BH50,N50)+INDEX(AUXILIAR!$AO$3:$AO$8,MATCH(L50,{0;2;5;10;20;50},1))*1440,IF(M50="ESTUDO",BH50,N50)))</f>
        <v>0</v>
      </c>
      <c r="P50" s="94">
        <f t="shared" si="36"/>
        <v>0</v>
      </c>
      <c r="Q50" s="94">
        <f t="shared" si="37"/>
        <v>0</v>
      </c>
      <c r="R50" s="91" t="s">
        <v>0</v>
      </c>
      <c r="S50" s="88">
        <f t="shared" si="38"/>
        <v>0</v>
      </c>
      <c r="T50" s="94">
        <f>((AM50/(1+AUXILIAR!$BJ$4))-((AM50/(1+AUXILIAR!$BJ$4))*AUXILIAR!$BK$4))-(((AM50/(1+AUXILIAR!$BJ$4))-((AM50/(1+AUXILIAR!$BJ$4))*AUXILIAR!$BK$4))*((AUXILIAR!$BL$4+AUXILIAR!$BM$4)))</f>
        <v>0</v>
      </c>
      <c r="U50" s="94">
        <f>((S50/(1+AUXILIAR!$BJ$7))-((S50/(1+AUXILIAR!$BJ$7))*AUXILIAR!$BK$7))-(((S50/(1+AUXILIAR!$BJ$7))-((S50/(1+AUXILIAR!$BJ$7))*AUXILIAR!$BK$7))*((AUXILIAR!$BL$7+AUXILIAR!$BM$7)))</f>
        <v>0</v>
      </c>
      <c r="V50" s="96">
        <f>AM50-(AM50/(1+AUXILIAR!$BJ$4))</f>
        <v>0</v>
      </c>
      <c r="W50" s="96">
        <f>(AM50-V50)*AUXILIAR!$BK$4</f>
        <v>0</v>
      </c>
      <c r="X50" s="96">
        <f>(AM50-V50-W50)*(AUXILIAR!$BL$4+AUXILIAR!$BM$4)</f>
        <v>0</v>
      </c>
      <c r="Y50" s="96">
        <f>X50-(X50/(1+AUXILIAR!$BJ$7))</f>
        <v>0</v>
      </c>
      <c r="Z50" s="96">
        <f>(S50-Y50)*AUXILIAR!$BK$7</f>
        <v>0</v>
      </c>
      <c r="AA50" s="96">
        <f>(S50-Y50-Z50)*(AUXILIAR!$BL$7+AUXILIAR!$BM$7)</f>
        <v>0</v>
      </c>
      <c r="AB50" s="97">
        <f t="shared" si="39"/>
        <v>0</v>
      </c>
      <c r="AC50" s="97">
        <f t="shared" si="40"/>
        <v>0</v>
      </c>
      <c r="AD50" s="97">
        <f t="shared" si="41"/>
        <v>0</v>
      </c>
      <c r="AE50" s="97">
        <f t="shared" si="42"/>
        <v>0</v>
      </c>
      <c r="AF50" s="97">
        <f t="shared" si="43"/>
        <v>0</v>
      </c>
      <c r="AG50" s="96">
        <f t="shared" si="44"/>
        <v>-1</v>
      </c>
      <c r="AH50" s="94">
        <f t="shared" si="45"/>
        <v>0</v>
      </c>
      <c r="AI50" s="98">
        <f t="shared" si="46"/>
        <v>0</v>
      </c>
      <c r="AJ50" s="94">
        <f t="shared" si="47"/>
        <v>0</v>
      </c>
      <c r="AK50" s="94">
        <f t="shared" si="48"/>
        <v>0</v>
      </c>
      <c r="AL50" s="94">
        <f>AUXILIAR!$BM$12</f>
        <v>1</v>
      </c>
      <c r="AM50" s="94">
        <f>IF($E$2="XADREZ",
     IFERROR(VLOOKUP(G50,AUXILIAR!AB:AC,2,TRUE),0),
     IF(AC47="SIM", 0, IFERROR(VLOOKUP(G50,AUXILIAR!AB:AC,2,TRUE),0))
)</f>
        <v>0</v>
      </c>
      <c r="AN50" s="124">
        <f t="shared" si="29"/>
        <v>0</v>
      </c>
      <c r="AO50" s="94">
        <f t="shared" si="49"/>
        <v>0</v>
      </c>
      <c r="AP50" s="94">
        <f t="shared" si="50"/>
        <v>0</v>
      </c>
      <c r="AQ50" s="124">
        <f>IFERROR(INDEX(AUXILIAR!$AG$3:$AG$28,MATCH(G50,AUXILIAR!$AH$3:$AH$28,1))*AM50,0)</f>
        <v>0</v>
      </c>
      <c r="AR50" s="99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1"/>
        <v/>
      </c>
      <c r="AT50" s="89" t="str">
        <f t="shared" si="52"/>
        <v/>
      </c>
      <c r="AU50" s="89" t="str">
        <f t="shared" si="53"/>
        <v/>
      </c>
      <c r="AV50" s="89" t="str">
        <f t="shared" si="54"/>
        <v/>
      </c>
      <c r="AW50" s="89" t="str">
        <f t="shared" si="55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6"/>
        <v>0</v>
      </c>
      <c r="AZ50" s="89">
        <f t="shared" si="57"/>
        <v>0</v>
      </c>
      <c r="BA50" s="116">
        <f t="shared" si="58"/>
        <v>0</v>
      </c>
      <c r="BB50" s="116">
        <f t="shared" si="59"/>
        <v>0</v>
      </c>
      <c r="BC50" s="116">
        <f t="shared" si="60"/>
        <v>0</v>
      </c>
      <c r="BD50" s="116">
        <f t="shared" si="34"/>
        <v>0</v>
      </c>
      <c r="BE50" s="89">
        <f t="shared" si="30"/>
        <v>0</v>
      </c>
      <c r="BF50" s="90">
        <f t="shared" si="31"/>
        <v>0.01</v>
      </c>
      <c r="BG50" s="90">
        <f t="shared" si="32"/>
        <v>3.3333333333333333E-2</v>
      </c>
      <c r="BH50" s="116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3">
        <v>1200</v>
      </c>
      <c r="L51" s="121" t="str">
        <f t="shared" si="22"/>
        <v>0</v>
      </c>
      <c r="M51" s="122">
        <f t="shared" si="23"/>
        <v>0</v>
      </c>
      <c r="N51" s="90">
        <f t="shared" si="35"/>
        <v>0</v>
      </c>
      <c r="O51" s="123">
        <f>IF(L51="",0,IFERROR(IF($M$2="ESTUDO",BH51,N51)+INDEX(AUXILIAR!$AO$3:$AO$8,MATCH(L51,{0;2;5;10;20;50},1))*1440,IF(M51="ESTUDO",BH51,N51)))</f>
        <v>0</v>
      </c>
      <c r="P51" s="94">
        <f t="shared" si="36"/>
        <v>0</v>
      </c>
      <c r="Q51" s="94">
        <f t="shared" si="37"/>
        <v>0</v>
      </c>
      <c r="R51" s="91" t="s">
        <v>0</v>
      </c>
      <c r="S51" s="88">
        <f t="shared" si="38"/>
        <v>0</v>
      </c>
      <c r="T51" s="94">
        <f>((AM51/(1+AUXILIAR!$BJ$4))-((AM51/(1+AUXILIAR!$BJ$4))*AUXILIAR!$BK$4))-(((AM51/(1+AUXILIAR!$BJ$4))-((AM51/(1+AUXILIAR!$BJ$4))*AUXILIAR!$BK$4))*((AUXILIAR!$BL$4+AUXILIAR!$BM$4)))</f>
        <v>0</v>
      </c>
      <c r="U51" s="94">
        <f>((S51/(1+AUXILIAR!$BJ$7))-((S51/(1+AUXILIAR!$BJ$7))*AUXILIAR!$BK$7))-(((S51/(1+AUXILIAR!$BJ$7))-((S51/(1+AUXILIAR!$BJ$7))*AUXILIAR!$BK$7))*((AUXILIAR!$BL$7+AUXILIAR!$BM$7)))</f>
        <v>0</v>
      </c>
      <c r="V51" s="96">
        <f>AM51-(AM51/(1+AUXILIAR!$BJ$4))</f>
        <v>0</v>
      </c>
      <c r="W51" s="96">
        <f>(AM51-V51)*AUXILIAR!$BK$4</f>
        <v>0</v>
      </c>
      <c r="X51" s="96">
        <f>(AM51-V51-W51)*(AUXILIAR!$BL$4+AUXILIAR!$BM$4)</f>
        <v>0</v>
      </c>
      <c r="Y51" s="96">
        <f>X51-(X51/(1+AUXILIAR!$BJ$7))</f>
        <v>0</v>
      </c>
      <c r="Z51" s="96">
        <f>(S51-Y51)*AUXILIAR!$BK$7</f>
        <v>0</v>
      </c>
      <c r="AA51" s="96">
        <f>(S51-Y51-Z51)*(AUXILIAR!$BL$7+AUXILIAR!$BM$7)</f>
        <v>0</v>
      </c>
      <c r="AB51" s="97">
        <f t="shared" si="39"/>
        <v>0</v>
      </c>
      <c r="AC51" s="97">
        <f t="shared" si="40"/>
        <v>0</v>
      </c>
      <c r="AD51" s="97">
        <f t="shared" si="41"/>
        <v>0</v>
      </c>
      <c r="AE51" s="97">
        <f t="shared" si="42"/>
        <v>0</v>
      </c>
      <c r="AF51" s="97">
        <f t="shared" si="43"/>
        <v>0</v>
      </c>
      <c r="AG51" s="96">
        <f t="shared" si="44"/>
        <v>-1</v>
      </c>
      <c r="AH51" s="94">
        <f t="shared" si="45"/>
        <v>0</v>
      </c>
      <c r="AI51" s="98">
        <f t="shared" si="46"/>
        <v>0</v>
      </c>
      <c r="AJ51" s="94">
        <f t="shared" si="47"/>
        <v>0</v>
      </c>
      <c r="AK51" s="94">
        <f t="shared" si="48"/>
        <v>0</v>
      </c>
      <c r="AL51" s="94">
        <f>AUXILIAR!$BM$12</f>
        <v>1</v>
      </c>
      <c r="AM51" s="94">
        <f>IF($E$2="XADREZ",
     IFERROR(VLOOKUP(G51,AUXILIAR!AB:AC,2,TRUE),0),
     IF(AC48="SIM", 0, IFERROR(VLOOKUP(G51,AUXILIAR!AB:AC,2,TRUE),0))
)</f>
        <v>0</v>
      </c>
      <c r="AN51" s="124">
        <f t="shared" si="29"/>
        <v>0</v>
      </c>
      <c r="AO51" s="94">
        <f t="shared" si="49"/>
        <v>0</v>
      </c>
      <c r="AP51" s="94">
        <f t="shared" si="50"/>
        <v>0</v>
      </c>
      <c r="AQ51" s="124">
        <f>IFERROR(INDEX(AUXILIAR!$AG$3:$AG$28,MATCH(G51,AUXILIAR!$AH$3:$AH$28,1))*AM51,0)</f>
        <v>0</v>
      </c>
      <c r="AR51" s="99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1"/>
        <v/>
      </c>
      <c r="AT51" s="89" t="str">
        <f t="shared" si="52"/>
        <v/>
      </c>
      <c r="AU51" s="89" t="str">
        <f t="shared" si="53"/>
        <v/>
      </c>
      <c r="AV51" s="89" t="str">
        <f t="shared" si="54"/>
        <v/>
      </c>
      <c r="AW51" s="89" t="str">
        <f t="shared" si="55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6"/>
        <v>0</v>
      </c>
      <c r="AZ51" s="89">
        <f t="shared" si="57"/>
        <v>0</v>
      </c>
      <c r="BA51" s="116">
        <f t="shared" si="58"/>
        <v>0</v>
      </c>
      <c r="BB51" s="116">
        <f t="shared" si="59"/>
        <v>0</v>
      </c>
      <c r="BC51" s="116">
        <f t="shared" si="60"/>
        <v>0</v>
      </c>
      <c r="BD51" s="116">
        <f t="shared" si="34"/>
        <v>0</v>
      </c>
      <c r="BE51" s="89">
        <f t="shared" si="30"/>
        <v>0</v>
      </c>
      <c r="BF51" s="90">
        <f t="shared" si="31"/>
        <v>0.01</v>
      </c>
      <c r="BG51" s="90">
        <f t="shared" si="32"/>
        <v>3.3333333333333333E-2</v>
      </c>
      <c r="BH51" s="116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3">
        <v>1200</v>
      </c>
      <c r="L52" s="121" t="str">
        <f t="shared" si="22"/>
        <v>0</v>
      </c>
      <c r="M52" s="122">
        <f t="shared" si="23"/>
        <v>0</v>
      </c>
      <c r="N52" s="90">
        <f t="shared" si="35"/>
        <v>0</v>
      </c>
      <c r="O52" s="123">
        <f>IF(L52="",0,IFERROR(IF($M$2="ESTUDO",BH52,N52)+INDEX(AUXILIAR!$AO$3:$AO$8,MATCH(L52,{0;2;5;10;20;50},1))*1440,IF(M52="ESTUDO",BH52,N52)))</f>
        <v>0</v>
      </c>
      <c r="P52" s="94">
        <f t="shared" si="36"/>
        <v>0</v>
      </c>
      <c r="Q52" s="94">
        <f t="shared" si="37"/>
        <v>0</v>
      </c>
      <c r="R52" s="91" t="s">
        <v>0</v>
      </c>
      <c r="S52" s="88">
        <f t="shared" si="38"/>
        <v>0</v>
      </c>
      <c r="T52" s="94">
        <f>((AM52/(1+AUXILIAR!$BJ$4))-((AM52/(1+AUXILIAR!$BJ$4))*AUXILIAR!$BK$4))-(((AM52/(1+AUXILIAR!$BJ$4))-((AM52/(1+AUXILIAR!$BJ$4))*AUXILIAR!$BK$4))*((AUXILIAR!$BL$4+AUXILIAR!$BM$4)))</f>
        <v>0</v>
      </c>
      <c r="U52" s="94">
        <f>((S52/(1+AUXILIAR!$BJ$7))-((S52/(1+AUXILIAR!$BJ$7))*AUXILIAR!$BK$7))-(((S52/(1+AUXILIAR!$BJ$7))-((S52/(1+AUXILIAR!$BJ$7))*AUXILIAR!$BK$7))*((AUXILIAR!$BL$7+AUXILIAR!$BM$7)))</f>
        <v>0</v>
      </c>
      <c r="V52" s="96">
        <f>AM52-(AM52/(1+AUXILIAR!$BJ$4))</f>
        <v>0</v>
      </c>
      <c r="W52" s="96">
        <f>(AM52-V52)*AUXILIAR!$BK$4</f>
        <v>0</v>
      </c>
      <c r="X52" s="96">
        <f>(AM52-V52-W52)*(AUXILIAR!$BL$4+AUXILIAR!$BM$4)</f>
        <v>0</v>
      </c>
      <c r="Y52" s="96">
        <f>X52-(X52/(1+AUXILIAR!$BJ$7))</f>
        <v>0</v>
      </c>
      <c r="Z52" s="96">
        <f>(S52-Y52)*AUXILIAR!$BK$7</f>
        <v>0</v>
      </c>
      <c r="AA52" s="96">
        <f>(S52-Y52-Z52)*(AUXILIAR!$BL$7+AUXILIAR!$BM$7)</f>
        <v>0</v>
      </c>
      <c r="AB52" s="97">
        <f t="shared" si="39"/>
        <v>0</v>
      </c>
      <c r="AC52" s="97">
        <f t="shared" si="40"/>
        <v>0</v>
      </c>
      <c r="AD52" s="97">
        <f t="shared" si="41"/>
        <v>0</v>
      </c>
      <c r="AE52" s="97">
        <f t="shared" si="42"/>
        <v>0</v>
      </c>
      <c r="AF52" s="97">
        <f t="shared" si="43"/>
        <v>0</v>
      </c>
      <c r="AG52" s="96">
        <f t="shared" si="44"/>
        <v>-1</v>
      </c>
      <c r="AH52" s="94">
        <f t="shared" si="45"/>
        <v>0</v>
      </c>
      <c r="AI52" s="98">
        <f t="shared" si="46"/>
        <v>0</v>
      </c>
      <c r="AJ52" s="94">
        <f t="shared" si="47"/>
        <v>0</v>
      </c>
      <c r="AK52" s="94">
        <f t="shared" si="48"/>
        <v>0</v>
      </c>
      <c r="AL52" s="94">
        <f>AUXILIAR!$BM$12</f>
        <v>1</v>
      </c>
      <c r="AM52" s="94">
        <f>IF($E$2="XADREZ",
     IFERROR(VLOOKUP(G52,AUXILIAR!AB:AC,2,TRUE),0),
     IF(AC49="SIM", 0, IFERROR(VLOOKUP(G52,AUXILIAR!AB:AC,2,TRUE),0))
)</f>
        <v>0</v>
      </c>
      <c r="AN52" s="124">
        <f t="shared" si="29"/>
        <v>0</v>
      </c>
      <c r="AO52" s="94">
        <f t="shared" si="49"/>
        <v>0</v>
      </c>
      <c r="AP52" s="94">
        <f t="shared" si="50"/>
        <v>0</v>
      </c>
      <c r="AQ52" s="124">
        <f>IFERROR(INDEX(AUXILIAR!$AG$3:$AG$28,MATCH(G52,AUXILIAR!$AH$3:$AH$28,1))*AM52,0)</f>
        <v>0</v>
      </c>
      <c r="AR52" s="99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1"/>
        <v/>
      </c>
      <c r="AT52" s="89" t="str">
        <f t="shared" si="52"/>
        <v/>
      </c>
      <c r="AU52" s="89" t="str">
        <f t="shared" si="53"/>
        <v/>
      </c>
      <c r="AV52" s="89" t="str">
        <f t="shared" si="54"/>
        <v/>
      </c>
      <c r="AW52" s="89" t="str">
        <f t="shared" si="55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6"/>
        <v>0</v>
      </c>
      <c r="AZ52" s="89">
        <f t="shared" si="57"/>
        <v>0</v>
      </c>
      <c r="BA52" s="116">
        <f t="shared" si="58"/>
        <v>0</v>
      </c>
      <c r="BB52" s="116">
        <f t="shared" si="59"/>
        <v>0</v>
      </c>
      <c r="BC52" s="116">
        <f t="shared" si="60"/>
        <v>0</v>
      </c>
      <c r="BD52" s="116">
        <f t="shared" si="34"/>
        <v>0</v>
      </c>
      <c r="BE52" s="89">
        <f t="shared" si="30"/>
        <v>0</v>
      </c>
      <c r="BF52" s="90">
        <f t="shared" si="31"/>
        <v>0.01</v>
      </c>
      <c r="BG52" s="90">
        <f t="shared" si="32"/>
        <v>3.3333333333333333E-2</v>
      </c>
      <c r="BH52" s="116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3">
        <v>1200</v>
      </c>
      <c r="L53" s="121" t="str">
        <f t="shared" si="22"/>
        <v>0</v>
      </c>
      <c r="M53" s="122">
        <f t="shared" si="23"/>
        <v>0</v>
      </c>
      <c r="N53" s="90">
        <f t="shared" si="35"/>
        <v>0</v>
      </c>
      <c r="O53" s="123">
        <f>IF(L53="",0,IFERROR(IF($M$2="ESTUDO",BH53,N53)+INDEX(AUXILIAR!$AO$3:$AO$8,MATCH(L53,{0;2;5;10;20;50},1))*1440,IF(M53="ESTUDO",BH53,N53)))</f>
        <v>0</v>
      </c>
      <c r="P53" s="94">
        <f t="shared" si="36"/>
        <v>0</v>
      </c>
      <c r="Q53" s="94">
        <f t="shared" si="37"/>
        <v>0</v>
      </c>
      <c r="R53" s="91" t="s">
        <v>0</v>
      </c>
      <c r="S53" s="88">
        <f t="shared" si="38"/>
        <v>0</v>
      </c>
      <c r="T53" s="94">
        <f>((AM53/(1+AUXILIAR!$BJ$4))-((AM53/(1+AUXILIAR!$BJ$4))*AUXILIAR!$BK$4))-(((AM53/(1+AUXILIAR!$BJ$4))-((AM53/(1+AUXILIAR!$BJ$4))*AUXILIAR!$BK$4))*((AUXILIAR!$BL$4+AUXILIAR!$BM$4)))</f>
        <v>0</v>
      </c>
      <c r="U53" s="94">
        <f>((S53/(1+AUXILIAR!$BJ$7))-((S53/(1+AUXILIAR!$BJ$7))*AUXILIAR!$BK$7))-(((S53/(1+AUXILIAR!$BJ$7))-((S53/(1+AUXILIAR!$BJ$7))*AUXILIAR!$BK$7))*((AUXILIAR!$BL$7+AUXILIAR!$BM$7)))</f>
        <v>0</v>
      </c>
      <c r="V53" s="96">
        <f>AM53-(AM53/(1+AUXILIAR!$BJ$4))</f>
        <v>0</v>
      </c>
      <c r="W53" s="96">
        <f>(AM53-V53)*AUXILIAR!$BK$4</f>
        <v>0</v>
      </c>
      <c r="X53" s="96">
        <f>(AM53-V53-W53)*(AUXILIAR!$BL$4+AUXILIAR!$BM$4)</f>
        <v>0</v>
      </c>
      <c r="Y53" s="96">
        <f>X53-(X53/(1+AUXILIAR!$BJ$7))</f>
        <v>0</v>
      </c>
      <c r="Z53" s="96">
        <f>(S53-Y53)*AUXILIAR!$BK$7</f>
        <v>0</v>
      </c>
      <c r="AA53" s="96">
        <f>(S53-Y53-Z53)*(AUXILIAR!$BL$7+AUXILIAR!$BM$7)</f>
        <v>0</v>
      </c>
      <c r="AB53" s="97">
        <f t="shared" si="39"/>
        <v>0</v>
      </c>
      <c r="AC53" s="97">
        <f t="shared" si="40"/>
        <v>0</v>
      </c>
      <c r="AD53" s="97">
        <f t="shared" si="41"/>
        <v>0</v>
      </c>
      <c r="AE53" s="97">
        <f t="shared" si="42"/>
        <v>0</v>
      </c>
      <c r="AF53" s="97">
        <f t="shared" si="43"/>
        <v>0</v>
      </c>
      <c r="AG53" s="96">
        <f t="shared" si="44"/>
        <v>-1</v>
      </c>
      <c r="AH53" s="94">
        <f t="shared" si="45"/>
        <v>0</v>
      </c>
      <c r="AI53" s="98">
        <f t="shared" si="46"/>
        <v>0</v>
      </c>
      <c r="AJ53" s="94">
        <f t="shared" si="47"/>
        <v>0</v>
      </c>
      <c r="AK53" s="94">
        <f t="shared" si="48"/>
        <v>0</v>
      </c>
      <c r="AL53" s="94">
        <f>AUXILIAR!$BM$12</f>
        <v>1</v>
      </c>
      <c r="AM53" s="94">
        <f>IF($E$2="XADREZ",
     IFERROR(VLOOKUP(G53,AUXILIAR!AB:AC,2,TRUE),0),
     IF(AC50="SIM", 0, IFERROR(VLOOKUP(G53,AUXILIAR!AB:AC,2,TRUE),0))
)</f>
        <v>0</v>
      </c>
      <c r="AN53" s="124">
        <f t="shared" si="29"/>
        <v>0</v>
      </c>
      <c r="AO53" s="94">
        <f t="shared" si="49"/>
        <v>0</v>
      </c>
      <c r="AP53" s="94">
        <f t="shared" si="50"/>
        <v>0</v>
      </c>
      <c r="AQ53" s="124">
        <f>IFERROR(INDEX(AUXILIAR!$AG$3:$AG$28,MATCH(G53,AUXILIAR!$AH$3:$AH$28,1))*AM53,0)</f>
        <v>0</v>
      </c>
      <c r="AR53" s="99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1"/>
        <v/>
      </c>
      <c r="AT53" s="89" t="str">
        <f t="shared" si="52"/>
        <v/>
      </c>
      <c r="AU53" s="89" t="str">
        <f t="shared" si="53"/>
        <v/>
      </c>
      <c r="AV53" s="89" t="str">
        <f t="shared" si="54"/>
        <v/>
      </c>
      <c r="AW53" s="89" t="str">
        <f t="shared" si="55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6"/>
        <v>0</v>
      </c>
      <c r="AZ53" s="89">
        <f t="shared" si="57"/>
        <v>0</v>
      </c>
      <c r="BA53" s="116">
        <f t="shared" si="58"/>
        <v>0</v>
      </c>
      <c r="BB53" s="116">
        <f t="shared" si="59"/>
        <v>0</v>
      </c>
      <c r="BC53" s="116">
        <f t="shared" si="60"/>
        <v>0</v>
      </c>
      <c r="BD53" s="116">
        <f t="shared" si="34"/>
        <v>0</v>
      </c>
      <c r="BE53" s="89">
        <f t="shared" si="30"/>
        <v>0</v>
      </c>
      <c r="BF53" s="90">
        <f t="shared" si="31"/>
        <v>0.01</v>
      </c>
      <c r="BG53" s="90">
        <f t="shared" si="32"/>
        <v>3.3333333333333333E-2</v>
      </c>
      <c r="BH53" s="116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3">
        <v>1200</v>
      </c>
      <c r="L54" s="121" t="str">
        <f t="shared" si="22"/>
        <v>0</v>
      </c>
      <c r="M54" s="122">
        <f t="shared" si="23"/>
        <v>0</v>
      </c>
      <c r="N54" s="90">
        <f t="shared" si="35"/>
        <v>0</v>
      </c>
      <c r="O54" s="123">
        <f>IF(L54="",0,IFERROR(IF($M$2="ESTUDO",BH54,N54)+INDEX(AUXILIAR!$AO$3:$AO$8,MATCH(L54,{0;2;5;10;20;50},1))*1440,IF(M54="ESTUDO",BH54,N54)))</f>
        <v>0</v>
      </c>
      <c r="P54" s="94">
        <f t="shared" si="36"/>
        <v>0</v>
      </c>
      <c r="Q54" s="94">
        <f t="shared" si="37"/>
        <v>0</v>
      </c>
      <c r="R54" s="91" t="s">
        <v>0</v>
      </c>
      <c r="S54" s="88">
        <f t="shared" si="38"/>
        <v>0</v>
      </c>
      <c r="T54" s="94">
        <f>((AM54/(1+AUXILIAR!$BJ$4))-((AM54/(1+AUXILIAR!$BJ$4))*AUXILIAR!$BK$4))-(((AM54/(1+AUXILIAR!$BJ$4))-((AM54/(1+AUXILIAR!$BJ$4))*AUXILIAR!$BK$4))*((AUXILIAR!$BL$4+AUXILIAR!$BM$4)))</f>
        <v>0</v>
      </c>
      <c r="U54" s="94">
        <f>((S54/(1+AUXILIAR!$BJ$7))-((S54/(1+AUXILIAR!$BJ$7))*AUXILIAR!$BK$7))-(((S54/(1+AUXILIAR!$BJ$7))-((S54/(1+AUXILIAR!$BJ$7))*AUXILIAR!$BK$7))*((AUXILIAR!$BL$7+AUXILIAR!$BM$7)))</f>
        <v>0</v>
      </c>
      <c r="V54" s="96">
        <f>AM54-(AM54/(1+AUXILIAR!$BJ$4))</f>
        <v>0</v>
      </c>
      <c r="W54" s="96">
        <f>(AM54-V54)*AUXILIAR!$BK$4</f>
        <v>0</v>
      </c>
      <c r="X54" s="96">
        <f>(AM54-V54-W54)*(AUXILIAR!$BL$4+AUXILIAR!$BM$4)</f>
        <v>0</v>
      </c>
      <c r="Y54" s="96">
        <f>X54-(X54/(1+AUXILIAR!$BJ$7))</f>
        <v>0</v>
      </c>
      <c r="Z54" s="96">
        <f>(S54-Y54)*AUXILIAR!$BK$7</f>
        <v>0</v>
      </c>
      <c r="AA54" s="96">
        <f>(S54-Y54-Z54)*(AUXILIAR!$BL$7+AUXILIAR!$BM$7)</f>
        <v>0</v>
      </c>
      <c r="AB54" s="97">
        <f t="shared" si="39"/>
        <v>0</v>
      </c>
      <c r="AC54" s="97">
        <f t="shared" si="40"/>
        <v>0</v>
      </c>
      <c r="AD54" s="97">
        <f t="shared" si="41"/>
        <v>0</v>
      </c>
      <c r="AE54" s="97">
        <f t="shared" si="42"/>
        <v>0</v>
      </c>
      <c r="AF54" s="97">
        <f t="shared" si="43"/>
        <v>0</v>
      </c>
      <c r="AG54" s="96">
        <f t="shared" si="44"/>
        <v>-1</v>
      </c>
      <c r="AH54" s="94">
        <f t="shared" si="45"/>
        <v>0</v>
      </c>
      <c r="AI54" s="98">
        <f t="shared" si="46"/>
        <v>0</v>
      </c>
      <c r="AJ54" s="94">
        <f t="shared" si="47"/>
        <v>0</v>
      </c>
      <c r="AK54" s="94">
        <f t="shared" si="48"/>
        <v>0</v>
      </c>
      <c r="AL54" s="94">
        <f>AUXILIAR!$BM$12</f>
        <v>1</v>
      </c>
      <c r="AM54" s="94">
        <f>IF($E$2="XADREZ",
     IFERROR(VLOOKUP(G54,AUXILIAR!AB:AC,2,TRUE),0),
     IF(AC51="SIM", 0, IFERROR(VLOOKUP(G54,AUXILIAR!AB:AC,2,TRUE),0))
)</f>
        <v>0</v>
      </c>
      <c r="AN54" s="124">
        <f t="shared" si="29"/>
        <v>0</v>
      </c>
      <c r="AO54" s="94">
        <f t="shared" si="49"/>
        <v>0</v>
      </c>
      <c r="AP54" s="94">
        <f t="shared" si="50"/>
        <v>0</v>
      </c>
      <c r="AQ54" s="124">
        <f>IFERROR(INDEX(AUXILIAR!$AG$3:$AG$28,MATCH(G54,AUXILIAR!$AH$3:$AH$28,1))*AM54,0)</f>
        <v>0</v>
      </c>
      <c r="AR54" s="99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1"/>
        <v/>
      </c>
      <c r="AT54" s="89" t="str">
        <f t="shared" si="52"/>
        <v/>
      </c>
      <c r="AU54" s="89" t="str">
        <f t="shared" si="53"/>
        <v/>
      </c>
      <c r="AV54" s="89" t="str">
        <f t="shared" si="54"/>
        <v/>
      </c>
      <c r="AW54" s="89" t="str">
        <f t="shared" si="55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6"/>
        <v>0</v>
      </c>
      <c r="AZ54" s="89">
        <f t="shared" si="57"/>
        <v>0</v>
      </c>
      <c r="BA54" s="116">
        <f t="shared" si="58"/>
        <v>0</v>
      </c>
      <c r="BB54" s="116">
        <f t="shared" si="59"/>
        <v>0</v>
      </c>
      <c r="BC54" s="116">
        <f t="shared" si="60"/>
        <v>0</v>
      </c>
      <c r="BD54" s="116">
        <f t="shared" si="34"/>
        <v>0</v>
      </c>
      <c r="BE54" s="89">
        <f t="shared" si="30"/>
        <v>0</v>
      </c>
      <c r="BF54" s="90">
        <f t="shared" si="31"/>
        <v>0.01</v>
      </c>
      <c r="BG54" s="90">
        <f t="shared" si="32"/>
        <v>3.3333333333333333E-2</v>
      </c>
      <c r="BH54" s="116">
        <f t="shared" si="33"/>
        <v>0</v>
      </c>
    </row>
    <row r="55" spans="1:60" s="92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3">
        <v>1200</v>
      </c>
      <c r="L55" s="121" t="str">
        <f t="shared" si="22"/>
        <v>0</v>
      </c>
      <c r="M55" s="122">
        <f t="shared" si="23"/>
        <v>0</v>
      </c>
      <c r="N55" s="90">
        <f t="shared" si="35"/>
        <v>0</v>
      </c>
      <c r="O55" s="123">
        <f>IF(L55="",0,IFERROR(IF($M$2="ESTUDO",BH55,N55)+INDEX(AUXILIAR!$AO$3:$AO$8,MATCH(L55,{0;2;5;10;20;50},1))*1440,IF(M55="ESTUDO",BH55,N55)))</f>
        <v>0</v>
      </c>
      <c r="P55" s="94">
        <f t="shared" si="36"/>
        <v>0</v>
      </c>
      <c r="Q55" s="94">
        <f t="shared" si="37"/>
        <v>0</v>
      </c>
      <c r="R55" s="91" t="s">
        <v>0</v>
      </c>
      <c r="S55" s="88">
        <f t="shared" si="38"/>
        <v>0</v>
      </c>
      <c r="T55" s="94">
        <f>((AM55/(1+AUXILIAR!$BJ$4))-((AM55/(1+AUXILIAR!$BJ$4))*AUXILIAR!$BK$4))-(((AM55/(1+AUXILIAR!$BJ$4))-((AM55/(1+AUXILIAR!$BJ$4))*AUXILIAR!$BK$4))*((AUXILIAR!$BL$4+AUXILIAR!$BM$4)))</f>
        <v>0</v>
      </c>
      <c r="U55" s="94">
        <f>((S55/(1+AUXILIAR!$BJ$7))-((S55/(1+AUXILIAR!$BJ$7))*AUXILIAR!$BK$7))-(((S55/(1+AUXILIAR!$BJ$7))-((S55/(1+AUXILIAR!$BJ$7))*AUXILIAR!$BK$7))*((AUXILIAR!$BL$7+AUXILIAR!$BM$7)))</f>
        <v>0</v>
      </c>
      <c r="V55" s="96">
        <f>AM55-(AM55/(1+AUXILIAR!$BJ$4))</f>
        <v>0</v>
      </c>
      <c r="W55" s="96">
        <f>(AM55-V55)*AUXILIAR!$BK$4</f>
        <v>0</v>
      </c>
      <c r="X55" s="96">
        <f>(AM55-V55-W55)*(AUXILIAR!$BL$4+AUXILIAR!$BM$4)</f>
        <v>0</v>
      </c>
      <c r="Y55" s="96">
        <f>X55-(X55/(1+AUXILIAR!$BJ$7))</f>
        <v>0</v>
      </c>
      <c r="Z55" s="96">
        <f>(S55-Y55)*AUXILIAR!$BK$7</f>
        <v>0</v>
      </c>
      <c r="AA55" s="96">
        <f>(S55-Y55-Z55)*(AUXILIAR!$BL$7+AUXILIAR!$BM$7)</f>
        <v>0</v>
      </c>
      <c r="AB55" s="97">
        <f t="shared" si="39"/>
        <v>0</v>
      </c>
      <c r="AC55" s="97">
        <f t="shared" si="40"/>
        <v>0</v>
      </c>
      <c r="AD55" s="97">
        <f t="shared" si="41"/>
        <v>0</v>
      </c>
      <c r="AE55" s="97">
        <f t="shared" si="42"/>
        <v>0</v>
      </c>
      <c r="AF55" s="97">
        <f t="shared" si="43"/>
        <v>0</v>
      </c>
      <c r="AG55" s="96">
        <f t="shared" si="44"/>
        <v>-1</v>
      </c>
      <c r="AH55" s="94">
        <f t="shared" si="45"/>
        <v>0</v>
      </c>
      <c r="AI55" s="98">
        <f t="shared" si="46"/>
        <v>0</v>
      </c>
      <c r="AJ55" s="94">
        <f t="shared" si="47"/>
        <v>0</v>
      </c>
      <c r="AK55" s="94">
        <f t="shared" si="48"/>
        <v>0</v>
      </c>
      <c r="AL55" s="94">
        <f>AUXILIAR!$BM$12</f>
        <v>1</v>
      </c>
      <c r="AM55" s="94">
        <f>IF($E$2="XADREZ",
     IFERROR(VLOOKUP(G55,AUXILIAR!AB:AC,2,TRUE),0),
     IF(AC52="SIM", 0, IFERROR(VLOOKUP(G55,AUXILIAR!AB:AC,2,TRUE),0))
)</f>
        <v>0</v>
      </c>
      <c r="AN55" s="124">
        <f t="shared" si="29"/>
        <v>0</v>
      </c>
      <c r="AO55" s="94">
        <f t="shared" si="49"/>
        <v>0</v>
      </c>
      <c r="AP55" s="94">
        <f t="shared" si="50"/>
        <v>0</v>
      </c>
      <c r="AQ55" s="124">
        <f>IFERROR(INDEX(AUXILIAR!$AG$3:$AG$28,MATCH(G55,AUXILIAR!$AH$3:$AH$28,1))*AM55,0)</f>
        <v>0</v>
      </c>
      <c r="AR55" s="99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1"/>
        <v/>
      </c>
      <c r="AT55" s="89" t="str">
        <f t="shared" si="52"/>
        <v/>
      </c>
      <c r="AU55" s="89" t="str">
        <f t="shared" si="53"/>
        <v/>
      </c>
      <c r="AV55" s="89" t="str">
        <f t="shared" si="54"/>
        <v/>
      </c>
      <c r="AW55" s="89" t="str">
        <f t="shared" si="55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6"/>
        <v>0</v>
      </c>
      <c r="AZ55" s="89">
        <f t="shared" si="57"/>
        <v>0</v>
      </c>
      <c r="BA55" s="116">
        <f t="shared" si="58"/>
        <v>0</v>
      </c>
      <c r="BB55" s="116">
        <f t="shared" si="59"/>
        <v>0</v>
      </c>
      <c r="BC55" s="116">
        <f t="shared" si="60"/>
        <v>0</v>
      </c>
      <c r="BD55" s="116">
        <f t="shared" si="34"/>
        <v>0</v>
      </c>
      <c r="BE55" s="89">
        <f t="shared" si="30"/>
        <v>0</v>
      </c>
      <c r="BF55" s="90">
        <f t="shared" si="31"/>
        <v>0.01</v>
      </c>
      <c r="BG55" s="90">
        <f t="shared" si="32"/>
        <v>3.3333333333333333E-2</v>
      </c>
      <c r="BH55" s="116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3">
        <v>1200</v>
      </c>
      <c r="L56" s="121" t="str">
        <f t="shared" si="22"/>
        <v>0</v>
      </c>
      <c r="M56" s="122">
        <f t="shared" si="23"/>
        <v>0</v>
      </c>
      <c r="N56" s="90">
        <f t="shared" si="35"/>
        <v>0</v>
      </c>
      <c r="O56" s="123">
        <f>IF(L56="",0,IFERROR(IF($M$2="ESTUDO",BH56,N56)+INDEX(AUXILIAR!$AO$3:$AO$8,MATCH(L56,{0;2;5;10;20;50},1))*1440,IF(M56="ESTUDO",BH56,N56)))</f>
        <v>0</v>
      </c>
      <c r="P56" s="94">
        <f t="shared" si="36"/>
        <v>0</v>
      </c>
      <c r="Q56" s="94">
        <f t="shared" si="37"/>
        <v>0</v>
      </c>
      <c r="R56" s="91" t="s">
        <v>0</v>
      </c>
      <c r="S56" s="88">
        <f t="shared" si="38"/>
        <v>0</v>
      </c>
      <c r="T56" s="94">
        <f>((AM56/(1+AUXILIAR!$BJ$4))-((AM56/(1+AUXILIAR!$BJ$4))*AUXILIAR!$BK$4))-(((AM56/(1+AUXILIAR!$BJ$4))-((AM56/(1+AUXILIAR!$BJ$4))*AUXILIAR!$BK$4))*((AUXILIAR!$BL$4+AUXILIAR!$BM$4)))</f>
        <v>0</v>
      </c>
      <c r="U56" s="94">
        <f>((S56/(1+AUXILIAR!$BJ$7))-((S56/(1+AUXILIAR!$BJ$7))*AUXILIAR!$BK$7))-(((S56/(1+AUXILIAR!$BJ$7))-((S56/(1+AUXILIAR!$BJ$7))*AUXILIAR!$BK$7))*((AUXILIAR!$BL$7+AUXILIAR!$BM$7)))</f>
        <v>0</v>
      </c>
      <c r="V56" s="96">
        <f>AM56-(AM56/(1+AUXILIAR!$BJ$4))</f>
        <v>0</v>
      </c>
      <c r="W56" s="96">
        <f>(AM56-V56)*AUXILIAR!$BK$4</f>
        <v>0</v>
      </c>
      <c r="X56" s="96">
        <f>(AM56-V56-W56)*(AUXILIAR!$BL$4+AUXILIAR!$BM$4)</f>
        <v>0</v>
      </c>
      <c r="Y56" s="96">
        <f>X56-(X56/(1+AUXILIAR!$BJ$7))</f>
        <v>0</v>
      </c>
      <c r="Z56" s="96">
        <f>(S56-Y56)*AUXILIAR!$BK$7</f>
        <v>0</v>
      </c>
      <c r="AA56" s="96">
        <f>(S56-Y56-Z56)*(AUXILIAR!$BL$7+AUXILIAR!$BM$7)</f>
        <v>0</v>
      </c>
      <c r="AB56" s="97">
        <f t="shared" si="39"/>
        <v>0</v>
      </c>
      <c r="AC56" s="97">
        <f t="shared" si="40"/>
        <v>0</v>
      </c>
      <c r="AD56" s="97">
        <f t="shared" si="41"/>
        <v>0</v>
      </c>
      <c r="AE56" s="97">
        <f t="shared" si="42"/>
        <v>0</v>
      </c>
      <c r="AF56" s="97">
        <f t="shared" si="43"/>
        <v>0</v>
      </c>
      <c r="AG56" s="96">
        <f t="shared" si="44"/>
        <v>-1</v>
      </c>
      <c r="AH56" s="94">
        <f t="shared" si="45"/>
        <v>0</v>
      </c>
      <c r="AI56" s="98">
        <f t="shared" si="46"/>
        <v>0</v>
      </c>
      <c r="AJ56" s="94">
        <f t="shared" si="47"/>
        <v>0</v>
      </c>
      <c r="AK56" s="94">
        <f t="shared" si="48"/>
        <v>0</v>
      </c>
      <c r="AL56" s="94">
        <f>AUXILIAR!$BM$12</f>
        <v>1</v>
      </c>
      <c r="AM56" s="94">
        <f>IF($E$2="XADREZ",
     IFERROR(VLOOKUP(G56,AUXILIAR!AB:AC,2,TRUE),0),
     IF(AC53="SIM", 0, IFERROR(VLOOKUP(G56,AUXILIAR!AB:AC,2,TRUE),0))
)</f>
        <v>0</v>
      </c>
      <c r="AN56" s="124">
        <f t="shared" si="29"/>
        <v>0</v>
      </c>
      <c r="AO56" s="94">
        <f t="shared" si="49"/>
        <v>0</v>
      </c>
      <c r="AP56" s="94">
        <f t="shared" si="50"/>
        <v>0</v>
      </c>
      <c r="AQ56" s="124">
        <f>IFERROR(INDEX(AUXILIAR!$AG$3:$AG$28,MATCH(G56,AUXILIAR!$AH$3:$AH$28,1))*AM56,0)</f>
        <v>0</v>
      </c>
      <c r="AR56" s="99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1"/>
        <v/>
      </c>
      <c r="AT56" s="89" t="str">
        <f t="shared" si="52"/>
        <v/>
      </c>
      <c r="AU56" s="89" t="str">
        <f t="shared" si="53"/>
        <v/>
      </c>
      <c r="AV56" s="89" t="str">
        <f t="shared" si="54"/>
        <v/>
      </c>
      <c r="AW56" s="89" t="str">
        <f t="shared" si="55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6"/>
        <v>0</v>
      </c>
      <c r="AZ56" s="89">
        <f t="shared" si="57"/>
        <v>0</v>
      </c>
      <c r="BA56" s="116">
        <f t="shared" si="58"/>
        <v>0</v>
      </c>
      <c r="BB56" s="116">
        <f t="shared" si="59"/>
        <v>0</v>
      </c>
      <c r="BC56" s="116">
        <f t="shared" si="60"/>
        <v>0</v>
      </c>
      <c r="BD56" s="116">
        <f t="shared" si="34"/>
        <v>0</v>
      </c>
      <c r="BE56" s="89">
        <f t="shared" si="30"/>
        <v>0</v>
      </c>
      <c r="BF56" s="90">
        <f t="shared" si="31"/>
        <v>0.01</v>
      </c>
      <c r="BG56" s="90">
        <f t="shared" si="32"/>
        <v>3.3333333333333333E-2</v>
      </c>
      <c r="BH56" s="116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3">
        <v>1200</v>
      </c>
      <c r="L57" s="121" t="str">
        <f t="shared" si="22"/>
        <v>0</v>
      </c>
      <c r="M57" s="122">
        <f t="shared" si="23"/>
        <v>0</v>
      </c>
      <c r="N57" s="90">
        <f t="shared" si="35"/>
        <v>0</v>
      </c>
      <c r="O57" s="123">
        <f>IF(L57="",0,IFERROR(IF($M$2="ESTUDO",BH57,N57)+INDEX(AUXILIAR!$AO$3:$AO$8,MATCH(L57,{0;2;5;10;20;50},1))*1440,IF(M57="ESTUDO",BH57,N57)))</f>
        <v>0</v>
      </c>
      <c r="P57" s="94">
        <f t="shared" si="36"/>
        <v>0</v>
      </c>
      <c r="Q57" s="94">
        <f t="shared" si="37"/>
        <v>0</v>
      </c>
      <c r="R57" s="91" t="s">
        <v>0</v>
      </c>
      <c r="S57" s="88">
        <f t="shared" si="38"/>
        <v>0</v>
      </c>
      <c r="T57" s="94">
        <f>((AM57/(1+AUXILIAR!$BJ$4))-((AM57/(1+AUXILIAR!$BJ$4))*AUXILIAR!$BK$4))-(((AM57/(1+AUXILIAR!$BJ$4))-((AM57/(1+AUXILIAR!$BJ$4))*AUXILIAR!$BK$4))*((AUXILIAR!$BL$4+AUXILIAR!$BM$4)))</f>
        <v>0</v>
      </c>
      <c r="U57" s="94">
        <f>((S57/(1+AUXILIAR!$BJ$7))-((S57/(1+AUXILIAR!$BJ$7))*AUXILIAR!$BK$7))-(((S57/(1+AUXILIAR!$BJ$7))-((S57/(1+AUXILIAR!$BJ$7))*AUXILIAR!$BK$7))*((AUXILIAR!$BL$7+AUXILIAR!$BM$7)))</f>
        <v>0</v>
      </c>
      <c r="V57" s="96">
        <f>AM57-(AM57/(1+AUXILIAR!$BJ$4))</f>
        <v>0</v>
      </c>
      <c r="W57" s="96">
        <f>(AM57-V57)*AUXILIAR!$BK$4</f>
        <v>0</v>
      </c>
      <c r="X57" s="96">
        <f>(AM57-V57-W57)*(AUXILIAR!$BL$4+AUXILIAR!$BM$4)</f>
        <v>0</v>
      </c>
      <c r="Y57" s="96">
        <f>X57-(X57/(1+AUXILIAR!$BJ$7))</f>
        <v>0</v>
      </c>
      <c r="Z57" s="96">
        <f>(S57-Y57)*AUXILIAR!$BK$7</f>
        <v>0</v>
      </c>
      <c r="AA57" s="96">
        <f>(S57-Y57-Z57)*(AUXILIAR!$BL$7+AUXILIAR!$BM$7)</f>
        <v>0</v>
      </c>
      <c r="AB57" s="97">
        <f t="shared" si="39"/>
        <v>0</v>
      </c>
      <c r="AC57" s="97">
        <f t="shared" si="40"/>
        <v>0</v>
      </c>
      <c r="AD57" s="97">
        <f t="shared" si="41"/>
        <v>0</v>
      </c>
      <c r="AE57" s="97">
        <f t="shared" si="42"/>
        <v>0</v>
      </c>
      <c r="AF57" s="97">
        <f t="shared" si="43"/>
        <v>0</v>
      </c>
      <c r="AG57" s="96">
        <f t="shared" si="44"/>
        <v>-1</v>
      </c>
      <c r="AH57" s="94">
        <f t="shared" si="45"/>
        <v>0</v>
      </c>
      <c r="AI57" s="98">
        <f t="shared" si="46"/>
        <v>0</v>
      </c>
      <c r="AJ57" s="94">
        <f t="shared" si="47"/>
        <v>0</v>
      </c>
      <c r="AK57" s="94">
        <f t="shared" si="48"/>
        <v>0</v>
      </c>
      <c r="AL57" s="94">
        <f>AUXILIAR!$BM$12</f>
        <v>1</v>
      </c>
      <c r="AM57" s="94">
        <f>IF($E$2="XADREZ",
     IFERROR(VLOOKUP(G57,AUXILIAR!AB:AC,2,TRUE),0),
     IF(AC54="SIM", 0, IFERROR(VLOOKUP(G57,AUXILIAR!AB:AC,2,TRUE),0))
)</f>
        <v>0</v>
      </c>
      <c r="AN57" s="124">
        <f t="shared" si="29"/>
        <v>0</v>
      </c>
      <c r="AO57" s="94">
        <f t="shared" si="49"/>
        <v>0</v>
      </c>
      <c r="AP57" s="94">
        <f t="shared" si="50"/>
        <v>0</v>
      </c>
      <c r="AQ57" s="124">
        <f>IFERROR(INDEX(AUXILIAR!$AG$3:$AG$28,MATCH(G57,AUXILIAR!$AH$3:$AH$28,1))*AM57,0)</f>
        <v>0</v>
      </c>
      <c r="AR57" s="99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1"/>
        <v/>
      </c>
      <c r="AT57" s="89" t="str">
        <f t="shared" si="52"/>
        <v/>
      </c>
      <c r="AU57" s="89" t="str">
        <f t="shared" si="53"/>
        <v/>
      </c>
      <c r="AV57" s="89" t="str">
        <f t="shared" si="54"/>
        <v/>
      </c>
      <c r="AW57" s="89" t="str">
        <f t="shared" si="55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6"/>
        <v>0</v>
      </c>
      <c r="AZ57" s="89">
        <f t="shared" si="57"/>
        <v>0</v>
      </c>
      <c r="BA57" s="116">
        <f t="shared" si="58"/>
        <v>0</v>
      </c>
      <c r="BB57" s="116">
        <f t="shared" si="59"/>
        <v>0</v>
      </c>
      <c r="BC57" s="116">
        <f t="shared" si="60"/>
        <v>0</v>
      </c>
      <c r="BD57" s="116">
        <f t="shared" si="34"/>
        <v>0</v>
      </c>
      <c r="BE57" s="89">
        <f t="shared" si="30"/>
        <v>0</v>
      </c>
      <c r="BF57" s="90">
        <f t="shared" si="31"/>
        <v>0.01</v>
      </c>
      <c r="BG57" s="90">
        <f t="shared" si="32"/>
        <v>3.3333333333333333E-2</v>
      </c>
      <c r="BH57" s="116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3">
        <v>1200</v>
      </c>
      <c r="L58" s="121" t="str">
        <f t="shared" si="22"/>
        <v>0</v>
      </c>
      <c r="M58" s="122">
        <f t="shared" si="23"/>
        <v>0</v>
      </c>
      <c r="N58" s="90">
        <f t="shared" si="35"/>
        <v>0</v>
      </c>
      <c r="O58" s="123">
        <f>IF(L58="",0,IFERROR(IF($M$2="ESTUDO",BH58,N58)+INDEX(AUXILIAR!$AO$3:$AO$8,MATCH(L58,{0;2;5;10;20;50},1))*1440,IF(M58="ESTUDO",BH58,N58)))</f>
        <v>0</v>
      </c>
      <c r="P58" s="94">
        <f t="shared" si="36"/>
        <v>0</v>
      </c>
      <c r="Q58" s="94">
        <f t="shared" si="37"/>
        <v>0</v>
      </c>
      <c r="R58" s="91" t="s">
        <v>0</v>
      </c>
      <c r="S58" s="88">
        <f t="shared" si="38"/>
        <v>0</v>
      </c>
      <c r="T58" s="94">
        <f>((AM58/(1+AUXILIAR!$BJ$4))-((AM58/(1+AUXILIAR!$BJ$4))*AUXILIAR!$BK$4))-(((AM58/(1+AUXILIAR!$BJ$4))-((AM58/(1+AUXILIAR!$BJ$4))*AUXILIAR!$BK$4))*((AUXILIAR!$BL$4+AUXILIAR!$BM$4)))</f>
        <v>0</v>
      </c>
      <c r="U58" s="94">
        <f>((S58/(1+AUXILIAR!$BJ$7))-((S58/(1+AUXILIAR!$BJ$7))*AUXILIAR!$BK$7))-(((S58/(1+AUXILIAR!$BJ$7))-((S58/(1+AUXILIAR!$BJ$7))*AUXILIAR!$BK$7))*((AUXILIAR!$BL$7+AUXILIAR!$BM$7)))</f>
        <v>0</v>
      </c>
      <c r="V58" s="96">
        <f>AM58-(AM58/(1+AUXILIAR!$BJ$4))</f>
        <v>0</v>
      </c>
      <c r="W58" s="96">
        <f>(AM58-V58)*AUXILIAR!$BK$4</f>
        <v>0</v>
      </c>
      <c r="X58" s="96">
        <f>(AM58-V58-W58)*(AUXILIAR!$BL$4+AUXILIAR!$BM$4)</f>
        <v>0</v>
      </c>
      <c r="Y58" s="96">
        <f>X58-(X58/(1+AUXILIAR!$BJ$7))</f>
        <v>0</v>
      </c>
      <c r="Z58" s="96">
        <f>(S58-Y58)*AUXILIAR!$BK$7</f>
        <v>0</v>
      </c>
      <c r="AA58" s="96">
        <f>(S58-Y58-Z58)*(AUXILIAR!$BL$7+AUXILIAR!$BM$7)</f>
        <v>0</v>
      </c>
      <c r="AB58" s="97">
        <f t="shared" si="39"/>
        <v>0</v>
      </c>
      <c r="AC58" s="97">
        <f t="shared" si="40"/>
        <v>0</v>
      </c>
      <c r="AD58" s="97">
        <f t="shared" si="41"/>
        <v>0</v>
      </c>
      <c r="AE58" s="97">
        <f t="shared" si="42"/>
        <v>0</v>
      </c>
      <c r="AF58" s="97">
        <f t="shared" si="43"/>
        <v>0</v>
      </c>
      <c r="AG58" s="96">
        <f t="shared" si="44"/>
        <v>-1</v>
      </c>
      <c r="AH58" s="94">
        <f t="shared" si="45"/>
        <v>0</v>
      </c>
      <c r="AI58" s="98">
        <f t="shared" si="46"/>
        <v>0</v>
      </c>
      <c r="AJ58" s="94">
        <f t="shared" si="47"/>
        <v>0</v>
      </c>
      <c r="AK58" s="94">
        <f t="shared" si="48"/>
        <v>0</v>
      </c>
      <c r="AL58" s="94">
        <f>AUXILIAR!$BM$12</f>
        <v>1</v>
      </c>
      <c r="AM58" s="94">
        <f>IF($E$2="XADREZ",
     IFERROR(VLOOKUP(G58,AUXILIAR!AB:AC,2,TRUE),0),
     IF(AC55="SIM", 0, IFERROR(VLOOKUP(G58,AUXILIAR!AB:AC,2,TRUE),0))
)</f>
        <v>0</v>
      </c>
      <c r="AN58" s="124">
        <f t="shared" si="29"/>
        <v>0</v>
      </c>
      <c r="AO58" s="94">
        <f t="shared" si="49"/>
        <v>0</v>
      </c>
      <c r="AP58" s="94">
        <f t="shared" si="50"/>
        <v>0</v>
      </c>
      <c r="AQ58" s="124">
        <f>IFERROR(INDEX(AUXILIAR!$AG$3:$AG$28,MATCH(G58,AUXILIAR!$AH$3:$AH$28,1))*AM58,0)</f>
        <v>0</v>
      </c>
      <c r="AR58" s="99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1"/>
        <v/>
      </c>
      <c r="AT58" s="89" t="str">
        <f t="shared" si="52"/>
        <v/>
      </c>
      <c r="AU58" s="89" t="str">
        <f t="shared" si="53"/>
        <v/>
      </c>
      <c r="AV58" s="89" t="str">
        <f t="shared" si="54"/>
        <v/>
      </c>
      <c r="AW58" s="89" t="str">
        <f t="shared" si="55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6"/>
        <v>0</v>
      </c>
      <c r="AZ58" s="89">
        <f t="shared" si="57"/>
        <v>0</v>
      </c>
      <c r="BA58" s="116">
        <f t="shared" si="58"/>
        <v>0</v>
      </c>
      <c r="BB58" s="116">
        <f t="shared" si="59"/>
        <v>0</v>
      </c>
      <c r="BC58" s="116">
        <f t="shared" si="60"/>
        <v>0</v>
      </c>
      <c r="BD58" s="116">
        <f t="shared" si="34"/>
        <v>0</v>
      </c>
      <c r="BE58" s="89">
        <f t="shared" si="30"/>
        <v>0</v>
      </c>
      <c r="BF58" s="90">
        <f t="shared" si="31"/>
        <v>0.01</v>
      </c>
      <c r="BG58" s="90">
        <f t="shared" si="32"/>
        <v>3.3333333333333333E-2</v>
      </c>
      <c r="BH58" s="116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3">
        <v>1200</v>
      </c>
      <c r="L59" s="121" t="str">
        <f t="shared" si="22"/>
        <v>0</v>
      </c>
      <c r="M59" s="122">
        <f t="shared" si="23"/>
        <v>0</v>
      </c>
      <c r="N59" s="90">
        <f t="shared" si="35"/>
        <v>0</v>
      </c>
      <c r="O59" s="123">
        <f>IF(L59="",0,IFERROR(IF($M$2="ESTUDO",BH59,N59)+INDEX(AUXILIAR!$AO$3:$AO$8,MATCH(L59,{0;2;5;10;20;50},1))*1440,IF(M59="ESTUDO",BH59,N59)))</f>
        <v>0</v>
      </c>
      <c r="P59" s="94">
        <f t="shared" si="36"/>
        <v>0</v>
      </c>
      <c r="Q59" s="94">
        <f t="shared" si="37"/>
        <v>0</v>
      </c>
      <c r="R59" s="91" t="s">
        <v>0</v>
      </c>
      <c r="S59" s="88">
        <f t="shared" si="38"/>
        <v>0</v>
      </c>
      <c r="T59" s="94">
        <f>((AM59/(1+AUXILIAR!$BJ$4))-((AM59/(1+AUXILIAR!$BJ$4))*AUXILIAR!$BK$4))-(((AM59/(1+AUXILIAR!$BJ$4))-((AM59/(1+AUXILIAR!$BJ$4))*AUXILIAR!$BK$4))*((AUXILIAR!$BL$4+AUXILIAR!$BM$4)))</f>
        <v>0</v>
      </c>
      <c r="U59" s="94">
        <f>((S59/(1+AUXILIAR!$BJ$7))-((S59/(1+AUXILIAR!$BJ$7))*AUXILIAR!$BK$7))-(((S59/(1+AUXILIAR!$BJ$7))-((S59/(1+AUXILIAR!$BJ$7))*AUXILIAR!$BK$7))*((AUXILIAR!$BL$7+AUXILIAR!$BM$7)))</f>
        <v>0</v>
      </c>
      <c r="V59" s="96">
        <f>AM59-(AM59/(1+AUXILIAR!$BJ$4))</f>
        <v>0</v>
      </c>
      <c r="W59" s="96">
        <f>(AM59-V59)*AUXILIAR!$BK$4</f>
        <v>0</v>
      </c>
      <c r="X59" s="96">
        <f>(AM59-V59-W59)*(AUXILIAR!$BL$4+AUXILIAR!$BM$4)</f>
        <v>0</v>
      </c>
      <c r="Y59" s="96">
        <f>X59-(X59/(1+AUXILIAR!$BJ$7))</f>
        <v>0</v>
      </c>
      <c r="Z59" s="96">
        <f>(S59-Y59)*AUXILIAR!$BK$7</f>
        <v>0</v>
      </c>
      <c r="AA59" s="96">
        <f>(S59-Y59-Z59)*(AUXILIAR!$BL$7+AUXILIAR!$BM$7)</f>
        <v>0</v>
      </c>
      <c r="AB59" s="97">
        <f t="shared" si="39"/>
        <v>0</v>
      </c>
      <c r="AC59" s="97">
        <f t="shared" si="40"/>
        <v>0</v>
      </c>
      <c r="AD59" s="97">
        <f t="shared" si="41"/>
        <v>0</v>
      </c>
      <c r="AE59" s="97">
        <f t="shared" si="42"/>
        <v>0</v>
      </c>
      <c r="AF59" s="97">
        <f t="shared" si="43"/>
        <v>0</v>
      </c>
      <c r="AG59" s="96">
        <f t="shared" si="44"/>
        <v>-1</v>
      </c>
      <c r="AH59" s="94">
        <f t="shared" si="45"/>
        <v>0</v>
      </c>
      <c r="AI59" s="98">
        <f t="shared" si="46"/>
        <v>0</v>
      </c>
      <c r="AJ59" s="94">
        <f t="shared" si="47"/>
        <v>0</v>
      </c>
      <c r="AK59" s="94">
        <f t="shared" si="48"/>
        <v>0</v>
      </c>
      <c r="AL59" s="94">
        <f>AUXILIAR!$BM$12</f>
        <v>1</v>
      </c>
      <c r="AM59" s="94">
        <f>IF($E$2="XADREZ",
     IFERROR(VLOOKUP(G59,AUXILIAR!AB:AC,2,TRUE),0),
     IF(AC56="SIM", 0, IFERROR(VLOOKUP(G59,AUXILIAR!AB:AC,2,TRUE),0))
)</f>
        <v>0</v>
      </c>
      <c r="AN59" s="124">
        <f t="shared" si="29"/>
        <v>0</v>
      </c>
      <c r="AO59" s="94">
        <f t="shared" si="49"/>
        <v>0</v>
      </c>
      <c r="AP59" s="94">
        <f t="shared" si="50"/>
        <v>0</v>
      </c>
      <c r="AQ59" s="124">
        <f>IFERROR(INDEX(AUXILIAR!$AG$3:$AG$28,MATCH(G59,AUXILIAR!$AH$3:$AH$28,1))*AM59,0)</f>
        <v>0</v>
      </c>
      <c r="AR59" s="99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1"/>
        <v/>
      </c>
      <c r="AT59" s="89" t="str">
        <f t="shared" si="52"/>
        <v/>
      </c>
      <c r="AU59" s="89" t="str">
        <f t="shared" si="53"/>
        <v/>
      </c>
      <c r="AV59" s="89" t="str">
        <f t="shared" si="54"/>
        <v/>
      </c>
      <c r="AW59" s="89" t="str">
        <f t="shared" si="55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6"/>
        <v>0</v>
      </c>
      <c r="AZ59" s="89">
        <f t="shared" si="57"/>
        <v>0</v>
      </c>
      <c r="BA59" s="116">
        <f t="shared" si="58"/>
        <v>0</v>
      </c>
      <c r="BB59" s="116">
        <f t="shared" si="59"/>
        <v>0</v>
      </c>
      <c r="BC59" s="116">
        <f t="shared" si="60"/>
        <v>0</v>
      </c>
      <c r="BD59" s="116">
        <f t="shared" si="34"/>
        <v>0</v>
      </c>
      <c r="BE59" s="89">
        <f t="shared" si="30"/>
        <v>0</v>
      </c>
      <c r="BF59" s="90">
        <f t="shared" si="31"/>
        <v>0.01</v>
      </c>
      <c r="BG59" s="90">
        <f t="shared" si="32"/>
        <v>3.3333333333333333E-2</v>
      </c>
      <c r="BH59" s="116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3">
        <v>1200</v>
      </c>
      <c r="L60" s="121" t="str">
        <f t="shared" si="22"/>
        <v>0</v>
      </c>
      <c r="M60" s="122">
        <f t="shared" si="23"/>
        <v>0</v>
      </c>
      <c r="N60" s="90">
        <f t="shared" si="35"/>
        <v>0</v>
      </c>
      <c r="O60" s="123">
        <f>IF(L60="",0,IFERROR(IF($M$2="ESTUDO",BH60,N60)+INDEX(AUXILIAR!$AO$3:$AO$8,MATCH(L60,{0;2;5;10;20;50},1))*1440,IF(M60="ESTUDO",BH60,N60)))</f>
        <v>0</v>
      </c>
      <c r="P60" s="94">
        <f t="shared" si="36"/>
        <v>0</v>
      </c>
      <c r="Q60" s="94">
        <f t="shared" si="37"/>
        <v>0</v>
      </c>
      <c r="R60" s="91" t="s">
        <v>0</v>
      </c>
      <c r="S60" s="88">
        <f t="shared" si="38"/>
        <v>0</v>
      </c>
      <c r="T60" s="94">
        <f>((AM60/(1+AUXILIAR!$BJ$4))-((AM60/(1+AUXILIAR!$BJ$4))*AUXILIAR!$BK$4))-(((AM60/(1+AUXILIAR!$BJ$4))-((AM60/(1+AUXILIAR!$BJ$4))*AUXILIAR!$BK$4))*((AUXILIAR!$BL$4+AUXILIAR!$BM$4)))</f>
        <v>0</v>
      </c>
      <c r="U60" s="94">
        <f>((S60/(1+AUXILIAR!$BJ$7))-((S60/(1+AUXILIAR!$BJ$7))*AUXILIAR!$BK$7))-(((S60/(1+AUXILIAR!$BJ$7))-((S60/(1+AUXILIAR!$BJ$7))*AUXILIAR!$BK$7))*((AUXILIAR!$BL$7+AUXILIAR!$BM$7)))</f>
        <v>0</v>
      </c>
      <c r="V60" s="96">
        <f>AM60-(AM60/(1+AUXILIAR!$BJ$4))</f>
        <v>0</v>
      </c>
      <c r="W60" s="96">
        <f>(AM60-V60)*AUXILIAR!$BK$4</f>
        <v>0</v>
      </c>
      <c r="X60" s="96">
        <f>(AM60-V60-W60)*(AUXILIAR!$BL$4+AUXILIAR!$BM$4)</f>
        <v>0</v>
      </c>
      <c r="Y60" s="96">
        <f>X60-(X60/(1+AUXILIAR!$BJ$7))</f>
        <v>0</v>
      </c>
      <c r="Z60" s="96">
        <f>(S60-Y60)*AUXILIAR!$BK$7</f>
        <v>0</v>
      </c>
      <c r="AA60" s="96">
        <f>(S60-Y60-Z60)*(AUXILIAR!$BL$7+AUXILIAR!$BM$7)</f>
        <v>0</v>
      </c>
      <c r="AB60" s="97">
        <f t="shared" si="39"/>
        <v>0</v>
      </c>
      <c r="AC60" s="97">
        <f t="shared" si="40"/>
        <v>0</v>
      </c>
      <c r="AD60" s="97">
        <f t="shared" si="41"/>
        <v>0</v>
      </c>
      <c r="AE60" s="97">
        <f t="shared" si="42"/>
        <v>0</v>
      </c>
      <c r="AF60" s="97">
        <f t="shared" si="43"/>
        <v>0</v>
      </c>
      <c r="AG60" s="96">
        <f t="shared" si="44"/>
        <v>-1</v>
      </c>
      <c r="AH60" s="94">
        <f t="shared" si="45"/>
        <v>0</v>
      </c>
      <c r="AI60" s="98">
        <f t="shared" si="46"/>
        <v>0</v>
      </c>
      <c r="AJ60" s="94">
        <f t="shared" si="47"/>
        <v>0</v>
      </c>
      <c r="AK60" s="94">
        <f t="shared" si="48"/>
        <v>0</v>
      </c>
      <c r="AL60" s="94">
        <f>AUXILIAR!$BM$12</f>
        <v>1</v>
      </c>
      <c r="AM60" s="94">
        <f>IF($E$2="XADREZ",
     IFERROR(VLOOKUP(G60,AUXILIAR!AB:AC,2,TRUE),0),
     IF(AC57="SIM", 0, IFERROR(VLOOKUP(G60,AUXILIAR!AB:AC,2,TRUE),0))
)</f>
        <v>0</v>
      </c>
      <c r="AN60" s="124">
        <f t="shared" si="29"/>
        <v>0</v>
      </c>
      <c r="AO60" s="94">
        <f t="shared" si="49"/>
        <v>0</v>
      </c>
      <c r="AP60" s="94">
        <f t="shared" si="50"/>
        <v>0</v>
      </c>
      <c r="AQ60" s="124">
        <f>IFERROR(INDEX(AUXILIAR!$AG$3:$AG$28,MATCH(G60,AUXILIAR!$AH$3:$AH$28,1))*AM60,0)</f>
        <v>0</v>
      </c>
      <c r="AR60" s="99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1"/>
        <v/>
      </c>
      <c r="AT60" s="89" t="str">
        <f t="shared" si="52"/>
        <v/>
      </c>
      <c r="AU60" s="89" t="str">
        <f t="shared" si="53"/>
        <v/>
      </c>
      <c r="AV60" s="89" t="str">
        <f t="shared" si="54"/>
        <v/>
      </c>
      <c r="AW60" s="89" t="str">
        <f t="shared" si="55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6"/>
        <v>0</v>
      </c>
      <c r="AZ60" s="89">
        <f t="shared" si="57"/>
        <v>0</v>
      </c>
      <c r="BA60" s="116">
        <f t="shared" si="58"/>
        <v>0</v>
      </c>
      <c r="BB60" s="116">
        <f t="shared" si="59"/>
        <v>0</v>
      </c>
      <c r="BC60" s="116">
        <f t="shared" si="60"/>
        <v>0</v>
      </c>
      <c r="BD60" s="116">
        <f t="shared" si="34"/>
        <v>0</v>
      </c>
      <c r="BE60" s="89">
        <f t="shared" si="30"/>
        <v>0</v>
      </c>
      <c r="BF60" s="90">
        <f t="shared" si="31"/>
        <v>0.01</v>
      </c>
      <c r="BG60" s="90">
        <f t="shared" si="32"/>
        <v>3.3333333333333333E-2</v>
      </c>
      <c r="BH60" s="116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3">
        <v>1200</v>
      </c>
      <c r="L61" s="121" t="str">
        <f t="shared" si="22"/>
        <v>0</v>
      </c>
      <c r="M61" s="122">
        <f t="shared" si="23"/>
        <v>0</v>
      </c>
      <c r="N61" s="90">
        <f t="shared" si="35"/>
        <v>0</v>
      </c>
      <c r="O61" s="123">
        <f>IF(L61="",0,IFERROR(IF($M$2="ESTUDO",BH61,N61)+INDEX(AUXILIAR!$AO$3:$AO$8,MATCH(L61,{0;2;5;10;20;50},1))*1440,IF(M61="ESTUDO",BH61,N61)))</f>
        <v>0</v>
      </c>
      <c r="P61" s="94">
        <f t="shared" si="36"/>
        <v>0</v>
      </c>
      <c r="Q61" s="94">
        <f t="shared" si="37"/>
        <v>0</v>
      </c>
      <c r="R61" s="91" t="s">
        <v>0</v>
      </c>
      <c r="S61" s="88">
        <f t="shared" si="38"/>
        <v>0</v>
      </c>
      <c r="T61" s="94">
        <f>((AM61/(1+AUXILIAR!$BJ$4))-((AM61/(1+AUXILIAR!$BJ$4))*AUXILIAR!$BK$4))-(((AM61/(1+AUXILIAR!$BJ$4))-((AM61/(1+AUXILIAR!$BJ$4))*AUXILIAR!$BK$4))*((AUXILIAR!$BL$4+AUXILIAR!$BM$4)))</f>
        <v>0</v>
      </c>
      <c r="U61" s="94">
        <f>((S61/(1+AUXILIAR!$BJ$7))-((S61/(1+AUXILIAR!$BJ$7))*AUXILIAR!$BK$7))-(((S61/(1+AUXILIAR!$BJ$7))-((S61/(1+AUXILIAR!$BJ$7))*AUXILIAR!$BK$7))*((AUXILIAR!$BL$7+AUXILIAR!$BM$7)))</f>
        <v>0</v>
      </c>
      <c r="V61" s="96">
        <f>AM61-(AM61/(1+AUXILIAR!$BJ$4))</f>
        <v>0</v>
      </c>
      <c r="W61" s="96">
        <f>(AM61-V61)*AUXILIAR!$BK$4</f>
        <v>0</v>
      </c>
      <c r="X61" s="96">
        <f>(AM61-V61-W61)*(AUXILIAR!$BL$4+AUXILIAR!$BM$4)</f>
        <v>0</v>
      </c>
      <c r="Y61" s="96">
        <f>X61-(X61/(1+AUXILIAR!$BJ$7))</f>
        <v>0</v>
      </c>
      <c r="Z61" s="96">
        <f>(S61-Y61)*AUXILIAR!$BK$7</f>
        <v>0</v>
      </c>
      <c r="AA61" s="96">
        <f>(S61-Y61-Z61)*(AUXILIAR!$BL$7+AUXILIAR!$BM$7)</f>
        <v>0</v>
      </c>
      <c r="AB61" s="97">
        <f t="shared" si="39"/>
        <v>0</v>
      </c>
      <c r="AC61" s="97">
        <f t="shared" si="40"/>
        <v>0</v>
      </c>
      <c r="AD61" s="97">
        <f t="shared" si="41"/>
        <v>0</v>
      </c>
      <c r="AE61" s="97">
        <f t="shared" si="42"/>
        <v>0</v>
      </c>
      <c r="AF61" s="97">
        <f t="shared" si="43"/>
        <v>0</v>
      </c>
      <c r="AG61" s="96">
        <f t="shared" si="44"/>
        <v>-1</v>
      </c>
      <c r="AH61" s="94">
        <f t="shared" si="45"/>
        <v>0</v>
      </c>
      <c r="AI61" s="98">
        <f t="shared" si="46"/>
        <v>0</v>
      </c>
      <c r="AJ61" s="94">
        <f t="shared" si="47"/>
        <v>0</v>
      </c>
      <c r="AK61" s="94">
        <f t="shared" si="48"/>
        <v>0</v>
      </c>
      <c r="AL61" s="94">
        <f>AUXILIAR!$BM$12</f>
        <v>1</v>
      </c>
      <c r="AM61" s="94">
        <f>IF($E$2="XADREZ",
     IFERROR(VLOOKUP(G61,AUXILIAR!AB:AC,2,TRUE),0),
     IF(AC58="SIM", 0, IFERROR(VLOOKUP(G61,AUXILIAR!AB:AC,2,TRUE),0))
)</f>
        <v>0</v>
      </c>
      <c r="AN61" s="124">
        <f t="shared" si="29"/>
        <v>0</v>
      </c>
      <c r="AO61" s="94">
        <f t="shared" si="49"/>
        <v>0</v>
      </c>
      <c r="AP61" s="94">
        <f t="shared" si="50"/>
        <v>0</v>
      </c>
      <c r="AQ61" s="124">
        <f>IFERROR(INDEX(AUXILIAR!$AG$3:$AG$28,MATCH(G61,AUXILIAR!$AH$3:$AH$28,1))*AM61,0)</f>
        <v>0</v>
      </c>
      <c r="AR61" s="99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1"/>
        <v/>
      </c>
      <c r="AT61" s="89" t="str">
        <f t="shared" si="52"/>
        <v/>
      </c>
      <c r="AU61" s="89" t="str">
        <f t="shared" si="53"/>
        <v/>
      </c>
      <c r="AV61" s="89" t="str">
        <f t="shared" si="54"/>
        <v/>
      </c>
      <c r="AW61" s="89" t="str">
        <f t="shared" si="55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6"/>
        <v>0</v>
      </c>
      <c r="AZ61" s="89">
        <f t="shared" si="57"/>
        <v>0</v>
      </c>
      <c r="BA61" s="116">
        <f t="shared" si="58"/>
        <v>0</v>
      </c>
      <c r="BB61" s="116">
        <f t="shared" si="59"/>
        <v>0</v>
      </c>
      <c r="BC61" s="116">
        <f t="shared" si="60"/>
        <v>0</v>
      </c>
      <c r="BD61" s="116">
        <f t="shared" si="34"/>
        <v>0</v>
      </c>
      <c r="BE61" s="89">
        <f t="shared" si="30"/>
        <v>0</v>
      </c>
      <c r="BF61" s="90">
        <f t="shared" si="31"/>
        <v>0.01</v>
      </c>
      <c r="BG61" s="90">
        <f t="shared" si="32"/>
        <v>3.3333333333333333E-2</v>
      </c>
      <c r="BH61" s="116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3">
        <v>1200</v>
      </c>
      <c r="L62" s="121" t="str">
        <f t="shared" si="22"/>
        <v>0</v>
      </c>
      <c r="M62" s="122">
        <f t="shared" si="23"/>
        <v>0</v>
      </c>
      <c r="N62" s="90">
        <f t="shared" si="35"/>
        <v>0</v>
      </c>
      <c r="O62" s="123">
        <f>IF(L62="",0,IFERROR(IF($M$2="ESTUDO",BH62,N62)+INDEX(AUXILIAR!$AO$3:$AO$8,MATCH(L62,{0;2;5;10;20;50},1))*1440,IF(M62="ESTUDO",BH62,N62)))</f>
        <v>0</v>
      </c>
      <c r="P62" s="94">
        <f t="shared" si="36"/>
        <v>0</v>
      </c>
      <c r="Q62" s="94">
        <f t="shared" si="37"/>
        <v>0</v>
      </c>
      <c r="R62" s="91" t="s">
        <v>0</v>
      </c>
      <c r="S62" s="88">
        <f t="shared" si="38"/>
        <v>0</v>
      </c>
      <c r="T62" s="94">
        <f>((AM62/(1+AUXILIAR!$BJ$4))-((AM62/(1+AUXILIAR!$BJ$4))*AUXILIAR!$BK$4))-(((AM62/(1+AUXILIAR!$BJ$4))-((AM62/(1+AUXILIAR!$BJ$4))*AUXILIAR!$BK$4))*((AUXILIAR!$BL$4+AUXILIAR!$BM$4)))</f>
        <v>0</v>
      </c>
      <c r="U62" s="94">
        <f>((S62/(1+AUXILIAR!$BJ$7))-((S62/(1+AUXILIAR!$BJ$7))*AUXILIAR!$BK$7))-(((S62/(1+AUXILIAR!$BJ$7))-((S62/(1+AUXILIAR!$BJ$7))*AUXILIAR!$BK$7))*((AUXILIAR!$BL$7+AUXILIAR!$BM$7)))</f>
        <v>0</v>
      </c>
      <c r="V62" s="96">
        <f>AM62-(AM62/(1+AUXILIAR!$BJ$4))</f>
        <v>0</v>
      </c>
      <c r="W62" s="96">
        <f>(AM62-V62)*AUXILIAR!$BK$4</f>
        <v>0</v>
      </c>
      <c r="X62" s="96">
        <f>(AM62-V62-W62)*(AUXILIAR!$BL$4+AUXILIAR!$BM$4)</f>
        <v>0</v>
      </c>
      <c r="Y62" s="96">
        <f>X62-(X62/(1+AUXILIAR!$BJ$7))</f>
        <v>0</v>
      </c>
      <c r="Z62" s="96">
        <f>(S62-Y62)*AUXILIAR!$BK$7</f>
        <v>0</v>
      </c>
      <c r="AA62" s="96">
        <f>(S62-Y62-Z62)*(AUXILIAR!$BL$7+AUXILIAR!$BM$7)</f>
        <v>0</v>
      </c>
      <c r="AB62" s="97">
        <f t="shared" si="39"/>
        <v>0</v>
      </c>
      <c r="AC62" s="97">
        <f t="shared" si="40"/>
        <v>0</v>
      </c>
      <c r="AD62" s="97">
        <f t="shared" si="41"/>
        <v>0</v>
      </c>
      <c r="AE62" s="97">
        <f t="shared" si="42"/>
        <v>0</v>
      </c>
      <c r="AF62" s="97">
        <f t="shared" si="43"/>
        <v>0</v>
      </c>
      <c r="AG62" s="96">
        <f t="shared" si="44"/>
        <v>-1</v>
      </c>
      <c r="AH62" s="94">
        <f t="shared" si="45"/>
        <v>0</v>
      </c>
      <c r="AI62" s="98">
        <f t="shared" si="46"/>
        <v>0</v>
      </c>
      <c r="AJ62" s="94">
        <f t="shared" si="47"/>
        <v>0</v>
      </c>
      <c r="AK62" s="94">
        <f t="shared" si="48"/>
        <v>0</v>
      </c>
      <c r="AL62" s="94">
        <f>AUXILIAR!$BM$12</f>
        <v>1</v>
      </c>
      <c r="AM62" s="94">
        <f>IF($E$2="XADREZ",
     IFERROR(VLOOKUP(G62,AUXILIAR!AB:AC,2,TRUE),0),
     IF(AC59="SIM", 0, IFERROR(VLOOKUP(G62,AUXILIAR!AB:AC,2,TRUE),0))
)</f>
        <v>0</v>
      </c>
      <c r="AN62" s="124">
        <f t="shared" si="29"/>
        <v>0</v>
      </c>
      <c r="AO62" s="94">
        <f t="shared" si="49"/>
        <v>0</v>
      </c>
      <c r="AP62" s="94">
        <f t="shared" si="50"/>
        <v>0</v>
      </c>
      <c r="AQ62" s="124">
        <f>IFERROR(INDEX(AUXILIAR!$AG$3:$AG$28,MATCH(G62,AUXILIAR!$AH$3:$AH$28,1))*AM62,0)</f>
        <v>0</v>
      </c>
      <c r="AR62" s="99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1"/>
        <v/>
      </c>
      <c r="AT62" s="89" t="str">
        <f t="shared" si="52"/>
        <v/>
      </c>
      <c r="AU62" s="89" t="str">
        <f t="shared" si="53"/>
        <v/>
      </c>
      <c r="AV62" s="89" t="str">
        <f t="shared" si="54"/>
        <v/>
      </c>
      <c r="AW62" s="89" t="str">
        <f t="shared" si="55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6"/>
        <v>0</v>
      </c>
      <c r="AZ62" s="89">
        <f t="shared" si="57"/>
        <v>0</v>
      </c>
      <c r="BA62" s="116">
        <f t="shared" si="58"/>
        <v>0</v>
      </c>
      <c r="BB62" s="116">
        <f t="shared" si="59"/>
        <v>0</v>
      </c>
      <c r="BC62" s="116">
        <f t="shared" si="60"/>
        <v>0</v>
      </c>
      <c r="BD62" s="116">
        <f t="shared" si="34"/>
        <v>0</v>
      </c>
      <c r="BE62" s="89">
        <f t="shared" si="30"/>
        <v>0</v>
      </c>
      <c r="BF62" s="90">
        <f t="shared" si="31"/>
        <v>0.01</v>
      </c>
      <c r="BG62" s="90">
        <f t="shared" si="32"/>
        <v>3.3333333333333333E-2</v>
      </c>
      <c r="BH62" s="116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3">
        <v>1200</v>
      </c>
      <c r="L63" s="121" t="str">
        <f t="shared" si="22"/>
        <v>0</v>
      </c>
      <c r="M63" s="122">
        <f t="shared" si="23"/>
        <v>0</v>
      </c>
      <c r="N63" s="90">
        <f t="shared" si="35"/>
        <v>0</v>
      </c>
      <c r="O63" s="123">
        <f>IF(L63="",0,IFERROR(IF($M$2="ESTUDO",BH63,N63)+INDEX(AUXILIAR!$AO$3:$AO$8,MATCH(L63,{0;2;5;10;20;50},1))*1440,IF(M63="ESTUDO",BH63,N63)))</f>
        <v>0</v>
      </c>
      <c r="P63" s="94">
        <f t="shared" si="36"/>
        <v>0</v>
      </c>
      <c r="Q63" s="94">
        <f t="shared" si="37"/>
        <v>0</v>
      </c>
      <c r="R63" s="91" t="s">
        <v>0</v>
      </c>
      <c r="S63" s="88">
        <f t="shared" si="38"/>
        <v>0</v>
      </c>
      <c r="T63" s="94">
        <f>((AM63/(1+AUXILIAR!$BJ$4))-((AM63/(1+AUXILIAR!$BJ$4))*AUXILIAR!$BK$4))-(((AM63/(1+AUXILIAR!$BJ$4))-((AM63/(1+AUXILIAR!$BJ$4))*AUXILIAR!$BK$4))*((AUXILIAR!$BL$4+AUXILIAR!$BM$4)))</f>
        <v>0</v>
      </c>
      <c r="U63" s="94">
        <f>((S63/(1+AUXILIAR!$BJ$7))-((S63/(1+AUXILIAR!$BJ$7))*AUXILIAR!$BK$7))-(((S63/(1+AUXILIAR!$BJ$7))-((S63/(1+AUXILIAR!$BJ$7))*AUXILIAR!$BK$7))*((AUXILIAR!$BL$7+AUXILIAR!$BM$7)))</f>
        <v>0</v>
      </c>
      <c r="V63" s="96">
        <f>AM63-(AM63/(1+AUXILIAR!$BJ$4))</f>
        <v>0</v>
      </c>
      <c r="W63" s="96">
        <f>(AM63-V63)*AUXILIAR!$BK$4</f>
        <v>0</v>
      </c>
      <c r="X63" s="96">
        <f>(AM63-V63-W63)*(AUXILIAR!$BL$4+AUXILIAR!$BM$4)</f>
        <v>0</v>
      </c>
      <c r="Y63" s="96">
        <f>X63-(X63/(1+AUXILIAR!$BJ$7))</f>
        <v>0</v>
      </c>
      <c r="Z63" s="96">
        <f>(S63-Y63)*AUXILIAR!$BK$7</f>
        <v>0</v>
      </c>
      <c r="AA63" s="96">
        <f>(S63-Y63-Z63)*(AUXILIAR!$BL$7+AUXILIAR!$BM$7)</f>
        <v>0</v>
      </c>
      <c r="AB63" s="97">
        <f t="shared" si="39"/>
        <v>0</v>
      </c>
      <c r="AC63" s="97">
        <f t="shared" si="40"/>
        <v>0</v>
      </c>
      <c r="AD63" s="97">
        <f t="shared" si="41"/>
        <v>0</v>
      </c>
      <c r="AE63" s="97">
        <f t="shared" si="42"/>
        <v>0</v>
      </c>
      <c r="AF63" s="97">
        <f t="shared" si="43"/>
        <v>0</v>
      </c>
      <c r="AG63" s="96">
        <f t="shared" si="44"/>
        <v>-1</v>
      </c>
      <c r="AH63" s="94">
        <f t="shared" si="45"/>
        <v>0</v>
      </c>
      <c r="AI63" s="98">
        <f t="shared" si="46"/>
        <v>0</v>
      </c>
      <c r="AJ63" s="94">
        <f t="shared" si="47"/>
        <v>0</v>
      </c>
      <c r="AK63" s="94">
        <f t="shared" si="48"/>
        <v>0</v>
      </c>
      <c r="AL63" s="94">
        <f>AUXILIAR!$BM$12</f>
        <v>1</v>
      </c>
      <c r="AM63" s="94">
        <f>IF($E$2="XADREZ",
     IFERROR(VLOOKUP(G63,AUXILIAR!AB:AC,2,TRUE),0),
     IF(AC60="SIM", 0, IFERROR(VLOOKUP(G63,AUXILIAR!AB:AC,2,TRUE),0))
)</f>
        <v>0</v>
      </c>
      <c r="AN63" s="124">
        <f t="shared" si="29"/>
        <v>0</v>
      </c>
      <c r="AO63" s="94">
        <f t="shared" si="49"/>
        <v>0</v>
      </c>
      <c r="AP63" s="94">
        <f t="shared" si="50"/>
        <v>0</v>
      </c>
      <c r="AQ63" s="124">
        <f>IFERROR(INDEX(AUXILIAR!$AG$3:$AG$28,MATCH(G63,AUXILIAR!$AH$3:$AH$28,1))*AM63,0)</f>
        <v>0</v>
      </c>
      <c r="AR63" s="99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1"/>
        <v/>
      </c>
      <c r="AT63" s="89" t="str">
        <f t="shared" si="52"/>
        <v/>
      </c>
      <c r="AU63" s="89" t="str">
        <f t="shared" si="53"/>
        <v/>
      </c>
      <c r="AV63" s="89" t="str">
        <f t="shared" si="54"/>
        <v/>
      </c>
      <c r="AW63" s="89" t="str">
        <f t="shared" si="55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6"/>
        <v>0</v>
      </c>
      <c r="AZ63" s="89">
        <f t="shared" si="57"/>
        <v>0</v>
      </c>
      <c r="BA63" s="116">
        <f t="shared" si="58"/>
        <v>0</v>
      </c>
      <c r="BB63" s="116">
        <f t="shared" si="59"/>
        <v>0</v>
      </c>
      <c r="BC63" s="116">
        <f t="shared" si="60"/>
        <v>0</v>
      </c>
      <c r="BD63" s="116">
        <f t="shared" si="34"/>
        <v>0</v>
      </c>
      <c r="BE63" s="89">
        <f t="shared" si="30"/>
        <v>0</v>
      </c>
      <c r="BF63" s="90">
        <f t="shared" si="31"/>
        <v>0.01</v>
      </c>
      <c r="BG63" s="90">
        <f t="shared" si="32"/>
        <v>3.3333333333333333E-2</v>
      </c>
      <c r="BH63" s="116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3">
        <v>1200</v>
      </c>
      <c r="L64" s="121" t="str">
        <f t="shared" si="22"/>
        <v>0</v>
      </c>
      <c r="M64" s="122">
        <f t="shared" si="23"/>
        <v>0</v>
      </c>
      <c r="N64" s="90">
        <f t="shared" si="35"/>
        <v>0</v>
      </c>
      <c r="O64" s="123">
        <f>IF(L64="",0,IFERROR(IF($M$2="ESTUDO",BH64,N64)+INDEX(AUXILIAR!$AO$3:$AO$8,MATCH(L64,{0;2;5;10;20;50},1))*1440,IF(M64="ESTUDO",BH64,N64)))</f>
        <v>0</v>
      </c>
      <c r="P64" s="94">
        <f t="shared" si="36"/>
        <v>0</v>
      </c>
      <c r="Q64" s="94">
        <f t="shared" si="37"/>
        <v>0</v>
      </c>
      <c r="R64" s="91" t="s">
        <v>0</v>
      </c>
      <c r="S64" s="88">
        <f t="shared" si="38"/>
        <v>0</v>
      </c>
      <c r="T64" s="94">
        <f>((AM64/(1+AUXILIAR!$BJ$4))-((AM64/(1+AUXILIAR!$BJ$4))*AUXILIAR!$BK$4))-(((AM64/(1+AUXILIAR!$BJ$4))-((AM64/(1+AUXILIAR!$BJ$4))*AUXILIAR!$BK$4))*((AUXILIAR!$BL$4+AUXILIAR!$BM$4)))</f>
        <v>0</v>
      </c>
      <c r="U64" s="94">
        <f>((S64/(1+AUXILIAR!$BJ$7))-((S64/(1+AUXILIAR!$BJ$7))*AUXILIAR!$BK$7))-(((S64/(1+AUXILIAR!$BJ$7))-((S64/(1+AUXILIAR!$BJ$7))*AUXILIAR!$BK$7))*((AUXILIAR!$BL$7+AUXILIAR!$BM$7)))</f>
        <v>0</v>
      </c>
      <c r="V64" s="96">
        <f>AM64-(AM64/(1+AUXILIAR!$BJ$4))</f>
        <v>0</v>
      </c>
      <c r="W64" s="96">
        <f>(AM64-V64)*AUXILIAR!$BK$4</f>
        <v>0</v>
      </c>
      <c r="X64" s="96">
        <f>(AM64-V64-W64)*(AUXILIAR!$BL$4+AUXILIAR!$BM$4)</f>
        <v>0</v>
      </c>
      <c r="Y64" s="96">
        <f>X64-(X64/(1+AUXILIAR!$BJ$7))</f>
        <v>0</v>
      </c>
      <c r="Z64" s="96">
        <f>(S64-Y64)*AUXILIAR!$BK$7</f>
        <v>0</v>
      </c>
      <c r="AA64" s="96">
        <f>(S64-Y64-Z64)*(AUXILIAR!$BL$7+AUXILIAR!$BM$7)</f>
        <v>0</v>
      </c>
      <c r="AB64" s="97">
        <f t="shared" si="39"/>
        <v>0</v>
      </c>
      <c r="AC64" s="97">
        <f t="shared" si="40"/>
        <v>0</v>
      </c>
      <c r="AD64" s="97">
        <f t="shared" si="41"/>
        <v>0</v>
      </c>
      <c r="AE64" s="97">
        <f t="shared" si="42"/>
        <v>0</v>
      </c>
      <c r="AF64" s="97">
        <f t="shared" si="43"/>
        <v>0</v>
      </c>
      <c r="AG64" s="96">
        <f t="shared" si="44"/>
        <v>-1</v>
      </c>
      <c r="AH64" s="94">
        <f t="shared" si="45"/>
        <v>0</v>
      </c>
      <c r="AI64" s="98">
        <f t="shared" si="46"/>
        <v>0</v>
      </c>
      <c r="AJ64" s="94">
        <f t="shared" si="47"/>
        <v>0</v>
      </c>
      <c r="AK64" s="94">
        <f t="shared" si="48"/>
        <v>0</v>
      </c>
      <c r="AL64" s="94">
        <f>AUXILIAR!$BM$12</f>
        <v>1</v>
      </c>
      <c r="AM64" s="94">
        <f>IF($E$2="XADREZ",
     IFERROR(VLOOKUP(G64,AUXILIAR!AB:AC,2,TRUE),0),
     IF(AC61="SIM", 0, IFERROR(VLOOKUP(G64,AUXILIAR!AB:AC,2,TRUE),0))
)</f>
        <v>0</v>
      </c>
      <c r="AN64" s="124">
        <f t="shared" si="29"/>
        <v>0</v>
      </c>
      <c r="AO64" s="94">
        <f t="shared" si="49"/>
        <v>0</v>
      </c>
      <c r="AP64" s="94">
        <f t="shared" si="50"/>
        <v>0</v>
      </c>
      <c r="AQ64" s="124">
        <f>IFERROR(INDEX(AUXILIAR!$AG$3:$AG$28,MATCH(G64,AUXILIAR!$AH$3:$AH$28,1))*AM64,0)</f>
        <v>0</v>
      </c>
      <c r="AR64" s="99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1"/>
        <v/>
      </c>
      <c r="AT64" s="89" t="str">
        <f t="shared" si="52"/>
        <v/>
      </c>
      <c r="AU64" s="89" t="str">
        <f t="shared" si="53"/>
        <v/>
      </c>
      <c r="AV64" s="89" t="str">
        <f t="shared" si="54"/>
        <v/>
      </c>
      <c r="AW64" s="89" t="str">
        <f t="shared" si="55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6"/>
        <v>0</v>
      </c>
      <c r="AZ64" s="89">
        <f t="shared" si="57"/>
        <v>0</v>
      </c>
      <c r="BA64" s="116">
        <f t="shared" si="58"/>
        <v>0</v>
      </c>
      <c r="BB64" s="116">
        <f t="shared" si="59"/>
        <v>0</v>
      </c>
      <c r="BC64" s="116">
        <f t="shared" si="60"/>
        <v>0</v>
      </c>
      <c r="BD64" s="116">
        <f t="shared" si="34"/>
        <v>0</v>
      </c>
      <c r="BE64" s="89">
        <f t="shared" si="30"/>
        <v>0</v>
      </c>
      <c r="BF64" s="90">
        <f t="shared" si="31"/>
        <v>0.01</v>
      </c>
      <c r="BG64" s="90">
        <f t="shared" si="32"/>
        <v>3.3333333333333333E-2</v>
      </c>
      <c r="BH64" s="116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3">
        <v>1200</v>
      </c>
      <c r="L65" s="121" t="str">
        <f t="shared" si="22"/>
        <v>0</v>
      </c>
      <c r="M65" s="122">
        <f t="shared" si="23"/>
        <v>0</v>
      </c>
      <c r="N65" s="90">
        <f t="shared" si="35"/>
        <v>0</v>
      </c>
      <c r="O65" s="123">
        <f>IF(L65="",0,IFERROR(IF($M$2="ESTUDO",BH65,N65)+INDEX(AUXILIAR!$AO$3:$AO$8,MATCH(L65,{0;2;5;10;20;50},1))*1440,IF(M65="ESTUDO",BH65,N65)))</f>
        <v>0</v>
      </c>
      <c r="P65" s="94">
        <f t="shared" si="36"/>
        <v>0</v>
      </c>
      <c r="Q65" s="94">
        <f t="shared" si="37"/>
        <v>0</v>
      </c>
      <c r="R65" s="91" t="s">
        <v>0</v>
      </c>
      <c r="S65" s="88">
        <f t="shared" si="38"/>
        <v>0</v>
      </c>
      <c r="T65" s="94">
        <f>((AM65/(1+AUXILIAR!$BJ$4))-((AM65/(1+AUXILIAR!$BJ$4))*AUXILIAR!$BK$4))-(((AM65/(1+AUXILIAR!$BJ$4))-((AM65/(1+AUXILIAR!$BJ$4))*AUXILIAR!$BK$4))*((AUXILIAR!$BL$4+AUXILIAR!$BM$4)))</f>
        <v>0</v>
      </c>
      <c r="U65" s="94">
        <f>((S65/(1+AUXILIAR!$BJ$7))-((S65/(1+AUXILIAR!$BJ$7))*AUXILIAR!$BK$7))-(((S65/(1+AUXILIAR!$BJ$7))-((S65/(1+AUXILIAR!$BJ$7))*AUXILIAR!$BK$7))*((AUXILIAR!$BL$7+AUXILIAR!$BM$7)))</f>
        <v>0</v>
      </c>
      <c r="V65" s="96">
        <f>AM65-(AM65/(1+AUXILIAR!$BJ$4))</f>
        <v>0</v>
      </c>
      <c r="W65" s="96">
        <f>(AM65-V65)*AUXILIAR!$BK$4</f>
        <v>0</v>
      </c>
      <c r="X65" s="96">
        <f>(AM65-V65-W65)*(AUXILIAR!$BL$4+AUXILIAR!$BM$4)</f>
        <v>0</v>
      </c>
      <c r="Y65" s="96">
        <f>X65-(X65/(1+AUXILIAR!$BJ$7))</f>
        <v>0</v>
      </c>
      <c r="Z65" s="96">
        <f>(S65-Y65)*AUXILIAR!$BK$7</f>
        <v>0</v>
      </c>
      <c r="AA65" s="96">
        <f>(S65-Y65-Z65)*(AUXILIAR!$BL$7+AUXILIAR!$BM$7)</f>
        <v>0</v>
      </c>
      <c r="AB65" s="97">
        <f t="shared" si="39"/>
        <v>0</v>
      </c>
      <c r="AC65" s="97">
        <f t="shared" si="40"/>
        <v>0</v>
      </c>
      <c r="AD65" s="97">
        <f t="shared" si="41"/>
        <v>0</v>
      </c>
      <c r="AE65" s="97">
        <f t="shared" si="42"/>
        <v>0</v>
      </c>
      <c r="AF65" s="97">
        <f t="shared" si="43"/>
        <v>0</v>
      </c>
      <c r="AG65" s="96">
        <f t="shared" si="44"/>
        <v>-1</v>
      </c>
      <c r="AH65" s="94">
        <f t="shared" si="45"/>
        <v>0</v>
      </c>
      <c r="AI65" s="98">
        <f t="shared" si="46"/>
        <v>0</v>
      </c>
      <c r="AJ65" s="94">
        <f t="shared" si="47"/>
        <v>0</v>
      </c>
      <c r="AK65" s="94">
        <f t="shared" si="48"/>
        <v>0</v>
      </c>
      <c r="AL65" s="94">
        <f>AUXILIAR!$BM$12</f>
        <v>1</v>
      </c>
      <c r="AM65" s="94">
        <f>IF($E$2="XADREZ",
     IFERROR(VLOOKUP(G65,AUXILIAR!AB:AC,2,TRUE),0),
     IF(AC62="SIM", 0, IFERROR(VLOOKUP(G65,AUXILIAR!AB:AC,2,TRUE),0))
)</f>
        <v>0</v>
      </c>
      <c r="AN65" s="124">
        <f t="shared" si="29"/>
        <v>0</v>
      </c>
      <c r="AO65" s="94">
        <f t="shared" si="49"/>
        <v>0</v>
      </c>
      <c r="AP65" s="94">
        <f t="shared" si="50"/>
        <v>0</v>
      </c>
      <c r="AQ65" s="124">
        <f>IFERROR(INDEX(AUXILIAR!$AG$3:$AG$28,MATCH(G65,AUXILIAR!$AH$3:$AH$28,1))*AM65,0)</f>
        <v>0</v>
      </c>
      <c r="AR65" s="99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1"/>
        <v/>
      </c>
      <c r="AT65" s="89" t="str">
        <f t="shared" si="52"/>
        <v/>
      </c>
      <c r="AU65" s="89" t="str">
        <f t="shared" si="53"/>
        <v/>
      </c>
      <c r="AV65" s="89" t="str">
        <f t="shared" si="54"/>
        <v/>
      </c>
      <c r="AW65" s="89" t="str">
        <f t="shared" si="55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6"/>
        <v>0</v>
      </c>
      <c r="AZ65" s="89">
        <f t="shared" si="57"/>
        <v>0</v>
      </c>
      <c r="BA65" s="116">
        <f t="shared" si="58"/>
        <v>0</v>
      </c>
      <c r="BB65" s="116">
        <f t="shared" si="59"/>
        <v>0</v>
      </c>
      <c r="BC65" s="116">
        <f t="shared" si="60"/>
        <v>0</v>
      </c>
      <c r="BD65" s="116">
        <f t="shared" si="34"/>
        <v>0</v>
      </c>
      <c r="BE65" s="89">
        <f t="shared" si="30"/>
        <v>0</v>
      </c>
      <c r="BF65" s="90">
        <f t="shared" si="31"/>
        <v>0.01</v>
      </c>
      <c r="BG65" s="90">
        <f t="shared" si="32"/>
        <v>3.3333333333333333E-2</v>
      </c>
      <c r="BH65" s="116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3">
        <v>1200</v>
      </c>
      <c r="L66" s="121" t="str">
        <f t="shared" si="22"/>
        <v>0</v>
      </c>
      <c r="M66" s="122">
        <f t="shared" si="23"/>
        <v>0</v>
      </c>
      <c r="N66" s="90">
        <f t="shared" si="35"/>
        <v>0</v>
      </c>
      <c r="O66" s="123">
        <f>IF(L66="",0,IFERROR(IF($M$2="ESTUDO",BH66,N66)+INDEX(AUXILIAR!$AO$3:$AO$8,MATCH(L66,{0;2;5;10;20;50},1))*1440,IF(M66="ESTUDO",BH66,N66)))</f>
        <v>0</v>
      </c>
      <c r="P66" s="94">
        <f t="shared" si="36"/>
        <v>0</v>
      </c>
      <c r="Q66" s="94">
        <f t="shared" si="37"/>
        <v>0</v>
      </c>
      <c r="R66" s="91" t="s">
        <v>0</v>
      </c>
      <c r="S66" s="88">
        <f t="shared" si="38"/>
        <v>0</v>
      </c>
      <c r="T66" s="94">
        <f>((AM66/(1+AUXILIAR!$BJ$4))-((AM66/(1+AUXILIAR!$BJ$4))*AUXILIAR!$BK$4))-(((AM66/(1+AUXILIAR!$BJ$4))-((AM66/(1+AUXILIAR!$BJ$4))*AUXILIAR!$BK$4))*((AUXILIAR!$BL$4+AUXILIAR!$BM$4)))</f>
        <v>0</v>
      </c>
      <c r="U66" s="94">
        <f>((S66/(1+AUXILIAR!$BJ$7))-((S66/(1+AUXILIAR!$BJ$7))*AUXILIAR!$BK$7))-(((S66/(1+AUXILIAR!$BJ$7))-((S66/(1+AUXILIAR!$BJ$7))*AUXILIAR!$BK$7))*((AUXILIAR!$BL$7+AUXILIAR!$BM$7)))</f>
        <v>0</v>
      </c>
      <c r="V66" s="96">
        <f>AM66-(AM66/(1+AUXILIAR!$BJ$4))</f>
        <v>0</v>
      </c>
      <c r="W66" s="96">
        <f>(AM66-V66)*AUXILIAR!$BK$4</f>
        <v>0</v>
      </c>
      <c r="X66" s="96">
        <f>(AM66-V66-W66)*(AUXILIAR!$BL$4+AUXILIAR!$BM$4)</f>
        <v>0</v>
      </c>
      <c r="Y66" s="96">
        <f>X66-(X66/(1+AUXILIAR!$BJ$7))</f>
        <v>0</v>
      </c>
      <c r="Z66" s="96">
        <f>(S66-Y66)*AUXILIAR!$BK$7</f>
        <v>0</v>
      </c>
      <c r="AA66" s="96">
        <f>(S66-Y66-Z66)*(AUXILIAR!$BL$7+AUXILIAR!$BM$7)</f>
        <v>0</v>
      </c>
      <c r="AB66" s="97">
        <f t="shared" si="39"/>
        <v>0</v>
      </c>
      <c r="AC66" s="97">
        <f t="shared" si="40"/>
        <v>0</v>
      </c>
      <c r="AD66" s="97">
        <f t="shared" si="41"/>
        <v>0</v>
      </c>
      <c r="AE66" s="97">
        <f t="shared" si="42"/>
        <v>0</v>
      </c>
      <c r="AF66" s="97">
        <f t="shared" si="43"/>
        <v>0</v>
      </c>
      <c r="AG66" s="96">
        <f t="shared" si="44"/>
        <v>-1</v>
      </c>
      <c r="AH66" s="94">
        <f t="shared" si="45"/>
        <v>0</v>
      </c>
      <c r="AI66" s="98">
        <f t="shared" si="46"/>
        <v>0</v>
      </c>
      <c r="AJ66" s="94">
        <f t="shared" si="47"/>
        <v>0</v>
      </c>
      <c r="AK66" s="94">
        <f t="shared" si="48"/>
        <v>0</v>
      </c>
      <c r="AL66" s="94">
        <f>AUXILIAR!$BM$12</f>
        <v>1</v>
      </c>
      <c r="AM66" s="94">
        <f>IF($E$2="XADREZ",
     IFERROR(VLOOKUP(G66,AUXILIAR!AB:AC,2,TRUE),0),
     IF(AC63="SIM", 0, IFERROR(VLOOKUP(G66,AUXILIAR!AB:AC,2,TRUE),0))
)</f>
        <v>0</v>
      </c>
      <c r="AN66" s="124">
        <f t="shared" si="29"/>
        <v>0</v>
      </c>
      <c r="AO66" s="94">
        <f t="shared" si="49"/>
        <v>0</v>
      </c>
      <c r="AP66" s="94">
        <f t="shared" si="50"/>
        <v>0</v>
      </c>
      <c r="AQ66" s="124">
        <f>IFERROR(INDEX(AUXILIAR!$AG$3:$AG$28,MATCH(G66,AUXILIAR!$AH$3:$AH$28,1))*AM66,0)</f>
        <v>0</v>
      </c>
      <c r="AR66" s="99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1"/>
        <v/>
      </c>
      <c r="AT66" s="89" t="str">
        <f t="shared" si="52"/>
        <v/>
      </c>
      <c r="AU66" s="89" t="str">
        <f t="shared" si="53"/>
        <v/>
      </c>
      <c r="AV66" s="89" t="str">
        <f t="shared" si="54"/>
        <v/>
      </c>
      <c r="AW66" s="89" t="str">
        <f t="shared" si="55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6"/>
        <v>0</v>
      </c>
      <c r="AZ66" s="89">
        <f t="shared" si="57"/>
        <v>0</v>
      </c>
      <c r="BA66" s="116">
        <f t="shared" si="58"/>
        <v>0</v>
      </c>
      <c r="BB66" s="116">
        <f t="shared" si="59"/>
        <v>0</v>
      </c>
      <c r="BC66" s="116">
        <f t="shared" si="60"/>
        <v>0</v>
      </c>
      <c r="BD66" s="116">
        <f t="shared" si="34"/>
        <v>0</v>
      </c>
      <c r="BE66" s="89">
        <f t="shared" si="30"/>
        <v>0</v>
      </c>
      <c r="BF66" s="90">
        <f t="shared" si="31"/>
        <v>0.01</v>
      </c>
      <c r="BG66" s="90">
        <f t="shared" si="32"/>
        <v>3.3333333333333333E-2</v>
      </c>
      <c r="BH66" s="116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3">
        <v>1200</v>
      </c>
      <c r="L67" s="121" t="str">
        <f t="shared" si="22"/>
        <v>0</v>
      </c>
      <c r="M67" s="122">
        <f t="shared" si="23"/>
        <v>0</v>
      </c>
      <c r="N67" s="90">
        <f t="shared" si="35"/>
        <v>0</v>
      </c>
      <c r="O67" s="123">
        <f>IF(L67="",0,IFERROR(IF($M$2="ESTUDO",BH67,N67)+INDEX(AUXILIAR!$AO$3:$AO$8,MATCH(L67,{0;2;5;10;20;50},1))*1440,IF(M67="ESTUDO",BH67,N67)))</f>
        <v>0</v>
      </c>
      <c r="P67" s="94">
        <f t="shared" si="36"/>
        <v>0</v>
      </c>
      <c r="Q67" s="94">
        <f t="shared" si="37"/>
        <v>0</v>
      </c>
      <c r="R67" s="91" t="s">
        <v>0</v>
      </c>
      <c r="S67" s="88">
        <f t="shared" si="38"/>
        <v>0</v>
      </c>
      <c r="T67" s="94">
        <f>((AM67/(1+AUXILIAR!$BJ$4))-((AM67/(1+AUXILIAR!$BJ$4))*AUXILIAR!$BK$4))-(((AM67/(1+AUXILIAR!$BJ$4))-((AM67/(1+AUXILIAR!$BJ$4))*AUXILIAR!$BK$4))*((AUXILIAR!$BL$4+AUXILIAR!$BM$4)))</f>
        <v>0</v>
      </c>
      <c r="U67" s="94">
        <f>((S67/(1+AUXILIAR!$BJ$7))-((S67/(1+AUXILIAR!$BJ$7))*AUXILIAR!$BK$7))-(((S67/(1+AUXILIAR!$BJ$7))-((S67/(1+AUXILIAR!$BJ$7))*AUXILIAR!$BK$7))*((AUXILIAR!$BL$7+AUXILIAR!$BM$7)))</f>
        <v>0</v>
      </c>
      <c r="V67" s="96">
        <f>AM67-(AM67/(1+AUXILIAR!$BJ$4))</f>
        <v>0</v>
      </c>
      <c r="W67" s="96">
        <f>(AM67-V67)*AUXILIAR!$BK$4</f>
        <v>0</v>
      </c>
      <c r="X67" s="96">
        <f>(AM67-V67-W67)*(AUXILIAR!$BL$4+AUXILIAR!$BM$4)</f>
        <v>0</v>
      </c>
      <c r="Y67" s="96">
        <f>X67-(X67/(1+AUXILIAR!$BJ$7))</f>
        <v>0</v>
      </c>
      <c r="Z67" s="96">
        <f>(S67-Y67)*AUXILIAR!$BK$7</f>
        <v>0</v>
      </c>
      <c r="AA67" s="96">
        <f>(S67-Y67-Z67)*(AUXILIAR!$BL$7+AUXILIAR!$BM$7)</f>
        <v>0</v>
      </c>
      <c r="AB67" s="97">
        <f t="shared" si="39"/>
        <v>0</v>
      </c>
      <c r="AC67" s="97">
        <f t="shared" si="40"/>
        <v>0</v>
      </c>
      <c r="AD67" s="97">
        <f t="shared" si="41"/>
        <v>0</v>
      </c>
      <c r="AE67" s="97">
        <f t="shared" si="42"/>
        <v>0</v>
      </c>
      <c r="AF67" s="97">
        <f t="shared" si="43"/>
        <v>0</v>
      </c>
      <c r="AG67" s="96">
        <f t="shared" si="44"/>
        <v>-1</v>
      </c>
      <c r="AH67" s="94">
        <f t="shared" si="45"/>
        <v>0</v>
      </c>
      <c r="AI67" s="98">
        <f t="shared" si="46"/>
        <v>0</v>
      </c>
      <c r="AJ67" s="94">
        <f t="shared" si="47"/>
        <v>0</v>
      </c>
      <c r="AK67" s="94">
        <f t="shared" si="48"/>
        <v>0</v>
      </c>
      <c r="AL67" s="94">
        <f>AUXILIAR!$BM$12</f>
        <v>1</v>
      </c>
      <c r="AM67" s="94">
        <f>IF($E$2="XADREZ",
     IFERROR(VLOOKUP(G67,AUXILIAR!AB:AC,2,TRUE),0),
     IF(AC64="SIM", 0, IFERROR(VLOOKUP(G67,AUXILIAR!AB:AC,2,TRUE),0))
)</f>
        <v>0</v>
      </c>
      <c r="AN67" s="124">
        <f t="shared" si="29"/>
        <v>0</v>
      </c>
      <c r="AO67" s="94">
        <f t="shared" si="49"/>
        <v>0</v>
      </c>
      <c r="AP67" s="94">
        <f t="shared" si="50"/>
        <v>0</v>
      </c>
      <c r="AQ67" s="124">
        <f>IFERROR(INDEX(AUXILIAR!$AG$3:$AG$28,MATCH(G67,AUXILIAR!$AH$3:$AH$28,1))*AM67,0)</f>
        <v>0</v>
      </c>
      <c r="AR67" s="99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1"/>
        <v/>
      </c>
      <c r="AT67" s="89" t="str">
        <f t="shared" si="52"/>
        <v/>
      </c>
      <c r="AU67" s="89" t="str">
        <f t="shared" si="53"/>
        <v/>
      </c>
      <c r="AV67" s="89" t="str">
        <f t="shared" si="54"/>
        <v/>
      </c>
      <c r="AW67" s="89" t="str">
        <f t="shared" si="55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6"/>
        <v>0</v>
      </c>
      <c r="AZ67" s="89">
        <f t="shared" si="57"/>
        <v>0</v>
      </c>
      <c r="BA67" s="116">
        <f t="shared" si="58"/>
        <v>0</v>
      </c>
      <c r="BB67" s="116">
        <f t="shared" si="59"/>
        <v>0</v>
      </c>
      <c r="BC67" s="116">
        <f t="shared" si="60"/>
        <v>0</v>
      </c>
      <c r="BD67" s="116">
        <f t="shared" si="34"/>
        <v>0</v>
      </c>
      <c r="BE67" s="89">
        <f t="shared" si="30"/>
        <v>0</v>
      </c>
      <c r="BF67" s="90">
        <f t="shared" si="31"/>
        <v>0.01</v>
      </c>
      <c r="BG67" s="90">
        <f t="shared" si="32"/>
        <v>3.3333333333333333E-2</v>
      </c>
      <c r="BH67" s="116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3">
        <v>1200</v>
      </c>
      <c r="L68" s="121" t="str">
        <f t="shared" si="22"/>
        <v>0</v>
      </c>
      <c r="M68" s="122">
        <f t="shared" si="23"/>
        <v>0</v>
      </c>
      <c r="N68" s="90">
        <f t="shared" si="35"/>
        <v>0</v>
      </c>
      <c r="O68" s="123">
        <f>IF(L68="",0,IFERROR(IF($M$2="ESTUDO",BH68,N68)+INDEX(AUXILIAR!$AO$3:$AO$8,MATCH(L68,{0;2;5;10;20;50},1))*1440,IF(M68="ESTUDO",BH68,N68)))</f>
        <v>0</v>
      </c>
      <c r="P68" s="94">
        <f t="shared" si="36"/>
        <v>0</v>
      </c>
      <c r="Q68" s="94">
        <f t="shared" si="37"/>
        <v>0</v>
      </c>
      <c r="R68" s="91" t="s">
        <v>0</v>
      </c>
      <c r="S68" s="88">
        <f t="shared" si="38"/>
        <v>0</v>
      </c>
      <c r="T68" s="94">
        <f>((AM68/(1+AUXILIAR!$BJ$4))-((AM68/(1+AUXILIAR!$BJ$4))*AUXILIAR!$BK$4))-(((AM68/(1+AUXILIAR!$BJ$4))-((AM68/(1+AUXILIAR!$BJ$4))*AUXILIAR!$BK$4))*((AUXILIAR!$BL$4+AUXILIAR!$BM$4)))</f>
        <v>0</v>
      </c>
      <c r="U68" s="94">
        <f>((S68/(1+AUXILIAR!$BJ$7))-((S68/(1+AUXILIAR!$BJ$7))*AUXILIAR!$BK$7))-(((S68/(1+AUXILIAR!$BJ$7))-((S68/(1+AUXILIAR!$BJ$7))*AUXILIAR!$BK$7))*((AUXILIAR!$BL$7+AUXILIAR!$BM$7)))</f>
        <v>0</v>
      </c>
      <c r="V68" s="96">
        <f>AM68-(AM68/(1+AUXILIAR!$BJ$4))</f>
        <v>0</v>
      </c>
      <c r="W68" s="96">
        <f>(AM68-V68)*AUXILIAR!$BK$4</f>
        <v>0</v>
      </c>
      <c r="X68" s="96">
        <f>(AM68-V68-W68)*(AUXILIAR!$BL$4+AUXILIAR!$BM$4)</f>
        <v>0</v>
      </c>
      <c r="Y68" s="96">
        <f>X68-(X68/(1+AUXILIAR!$BJ$7))</f>
        <v>0</v>
      </c>
      <c r="Z68" s="96">
        <f>(S68-Y68)*AUXILIAR!$BK$7</f>
        <v>0</v>
      </c>
      <c r="AA68" s="96">
        <f>(S68-Y68-Z68)*(AUXILIAR!$BL$7+AUXILIAR!$BM$7)</f>
        <v>0</v>
      </c>
      <c r="AB68" s="97">
        <f t="shared" si="39"/>
        <v>0</v>
      </c>
      <c r="AC68" s="97">
        <f t="shared" si="40"/>
        <v>0</v>
      </c>
      <c r="AD68" s="97">
        <f t="shared" si="41"/>
        <v>0</v>
      </c>
      <c r="AE68" s="97">
        <f t="shared" si="42"/>
        <v>0</v>
      </c>
      <c r="AF68" s="97">
        <f t="shared" si="43"/>
        <v>0</v>
      </c>
      <c r="AG68" s="96">
        <f t="shared" si="44"/>
        <v>-1</v>
      </c>
      <c r="AH68" s="94">
        <f t="shared" si="45"/>
        <v>0</v>
      </c>
      <c r="AI68" s="98">
        <f t="shared" si="46"/>
        <v>0</v>
      </c>
      <c r="AJ68" s="94">
        <f t="shared" si="47"/>
        <v>0</v>
      </c>
      <c r="AK68" s="94">
        <f t="shared" si="48"/>
        <v>0</v>
      </c>
      <c r="AL68" s="94">
        <f>AUXILIAR!$BM$12</f>
        <v>1</v>
      </c>
      <c r="AM68" s="94">
        <f>IF($E$2="XADREZ",
     IFERROR(VLOOKUP(G68,AUXILIAR!AB:AC,2,TRUE),0),
     IF(AC65="SIM", 0, IFERROR(VLOOKUP(G68,AUXILIAR!AB:AC,2,TRUE),0))
)</f>
        <v>0</v>
      </c>
      <c r="AN68" s="124">
        <f t="shared" si="29"/>
        <v>0</v>
      </c>
      <c r="AO68" s="94">
        <f t="shared" si="49"/>
        <v>0</v>
      </c>
      <c r="AP68" s="94">
        <f t="shared" si="50"/>
        <v>0</v>
      </c>
      <c r="AQ68" s="124">
        <f>IFERROR(INDEX(AUXILIAR!$AG$3:$AG$28,MATCH(G68,AUXILIAR!$AH$3:$AH$28,1))*AM68,0)</f>
        <v>0</v>
      </c>
      <c r="AR68" s="99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1"/>
        <v/>
      </c>
      <c r="AT68" s="89" t="str">
        <f t="shared" si="52"/>
        <v/>
      </c>
      <c r="AU68" s="89" t="str">
        <f t="shared" si="53"/>
        <v/>
      </c>
      <c r="AV68" s="89" t="str">
        <f t="shared" si="54"/>
        <v/>
      </c>
      <c r="AW68" s="89" t="str">
        <f t="shared" si="55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6"/>
        <v>0</v>
      </c>
      <c r="AZ68" s="89">
        <f t="shared" si="57"/>
        <v>0</v>
      </c>
      <c r="BA68" s="116">
        <f t="shared" si="58"/>
        <v>0</v>
      </c>
      <c r="BB68" s="116">
        <f t="shared" si="59"/>
        <v>0</v>
      </c>
      <c r="BC68" s="116">
        <f t="shared" si="60"/>
        <v>0</v>
      </c>
      <c r="BD68" s="116">
        <f t="shared" si="34"/>
        <v>0</v>
      </c>
      <c r="BE68" s="89">
        <f t="shared" si="30"/>
        <v>0</v>
      </c>
      <c r="BF68" s="90">
        <f t="shared" si="31"/>
        <v>0.01</v>
      </c>
      <c r="BG68" s="90">
        <f t="shared" si="32"/>
        <v>3.3333333333333333E-2</v>
      </c>
      <c r="BH68" s="116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3">
        <v>1200</v>
      </c>
      <c r="L69" s="121" t="str">
        <f t="shared" si="22"/>
        <v>0</v>
      </c>
      <c r="M69" s="122">
        <f t="shared" si="23"/>
        <v>0</v>
      </c>
      <c r="N69" s="90">
        <f t="shared" si="35"/>
        <v>0</v>
      </c>
      <c r="O69" s="123">
        <f>IF(L69="",0,IFERROR(IF($M$2="ESTUDO",BH69,N69)+INDEX(AUXILIAR!$AO$3:$AO$8,MATCH(L69,{0;2;5;10;20;50},1))*1440,IF(M69="ESTUDO",BH69,N69)))</f>
        <v>0</v>
      </c>
      <c r="P69" s="94">
        <f t="shared" si="36"/>
        <v>0</v>
      </c>
      <c r="Q69" s="94">
        <f t="shared" si="37"/>
        <v>0</v>
      </c>
      <c r="R69" s="91" t="s">
        <v>0</v>
      </c>
      <c r="S69" s="88">
        <f t="shared" si="38"/>
        <v>0</v>
      </c>
      <c r="T69" s="94">
        <f>((AM69/(1+AUXILIAR!$BJ$4))-((AM69/(1+AUXILIAR!$BJ$4))*AUXILIAR!$BK$4))-(((AM69/(1+AUXILIAR!$BJ$4))-((AM69/(1+AUXILIAR!$BJ$4))*AUXILIAR!$BK$4))*((AUXILIAR!$BL$4+AUXILIAR!$BM$4)))</f>
        <v>0</v>
      </c>
      <c r="U69" s="94">
        <f>((S69/(1+AUXILIAR!$BJ$7))-((S69/(1+AUXILIAR!$BJ$7))*AUXILIAR!$BK$7))-(((S69/(1+AUXILIAR!$BJ$7))-((S69/(1+AUXILIAR!$BJ$7))*AUXILIAR!$BK$7))*((AUXILIAR!$BL$7+AUXILIAR!$BM$7)))</f>
        <v>0</v>
      </c>
      <c r="V69" s="96">
        <f>AM69-(AM69/(1+AUXILIAR!$BJ$4))</f>
        <v>0</v>
      </c>
      <c r="W69" s="96">
        <f>(AM69-V69)*AUXILIAR!$BK$4</f>
        <v>0</v>
      </c>
      <c r="X69" s="96">
        <f>(AM69-V69-W69)*(AUXILIAR!$BL$4+AUXILIAR!$BM$4)</f>
        <v>0</v>
      </c>
      <c r="Y69" s="96">
        <f>X69-(X69/(1+AUXILIAR!$BJ$7))</f>
        <v>0</v>
      </c>
      <c r="Z69" s="96">
        <f>(S69-Y69)*AUXILIAR!$BK$7</f>
        <v>0</v>
      </c>
      <c r="AA69" s="96">
        <f>(S69-Y69-Z69)*(AUXILIAR!$BL$7+AUXILIAR!$BM$7)</f>
        <v>0</v>
      </c>
      <c r="AB69" s="97">
        <f t="shared" si="39"/>
        <v>0</v>
      </c>
      <c r="AC69" s="97">
        <f t="shared" si="40"/>
        <v>0</v>
      </c>
      <c r="AD69" s="97">
        <f t="shared" si="41"/>
        <v>0</v>
      </c>
      <c r="AE69" s="97">
        <f t="shared" si="42"/>
        <v>0</v>
      </c>
      <c r="AF69" s="97">
        <f t="shared" si="43"/>
        <v>0</v>
      </c>
      <c r="AG69" s="96">
        <f t="shared" si="44"/>
        <v>-1</v>
      </c>
      <c r="AH69" s="94">
        <f t="shared" si="45"/>
        <v>0</v>
      </c>
      <c r="AI69" s="98">
        <f t="shared" si="46"/>
        <v>0</v>
      </c>
      <c r="AJ69" s="94">
        <f t="shared" si="47"/>
        <v>0</v>
      </c>
      <c r="AK69" s="94">
        <f t="shared" si="48"/>
        <v>0</v>
      </c>
      <c r="AL69" s="94">
        <f>AUXILIAR!$BM$12</f>
        <v>1</v>
      </c>
      <c r="AM69" s="94">
        <f>IF($E$2="XADREZ",
     IFERROR(VLOOKUP(G69,AUXILIAR!AB:AC,2,TRUE),0),
     IF(AC66="SIM", 0, IFERROR(VLOOKUP(G69,AUXILIAR!AB:AC,2,TRUE),0))
)</f>
        <v>0</v>
      </c>
      <c r="AN69" s="124">
        <f t="shared" si="29"/>
        <v>0</v>
      </c>
      <c r="AO69" s="94">
        <f t="shared" si="49"/>
        <v>0</v>
      </c>
      <c r="AP69" s="94">
        <f t="shared" si="50"/>
        <v>0</v>
      </c>
      <c r="AQ69" s="124">
        <f>IFERROR(INDEX(AUXILIAR!$AG$3:$AG$28,MATCH(G69,AUXILIAR!$AH$3:$AH$28,1))*AM69,0)</f>
        <v>0</v>
      </c>
      <c r="AR69" s="99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1"/>
        <v/>
      </c>
      <c r="AT69" s="89" t="str">
        <f t="shared" si="52"/>
        <v/>
      </c>
      <c r="AU69" s="89" t="str">
        <f t="shared" si="53"/>
        <v/>
      </c>
      <c r="AV69" s="89" t="str">
        <f t="shared" si="54"/>
        <v/>
      </c>
      <c r="AW69" s="89" t="str">
        <f t="shared" si="55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6"/>
        <v>0</v>
      </c>
      <c r="AZ69" s="89">
        <f t="shared" si="57"/>
        <v>0</v>
      </c>
      <c r="BA69" s="116">
        <f t="shared" si="58"/>
        <v>0</v>
      </c>
      <c r="BB69" s="116">
        <f t="shared" si="59"/>
        <v>0</v>
      </c>
      <c r="BC69" s="116">
        <f t="shared" si="60"/>
        <v>0</v>
      </c>
      <c r="BD69" s="116">
        <f t="shared" si="34"/>
        <v>0</v>
      </c>
      <c r="BE69" s="89">
        <f t="shared" si="30"/>
        <v>0</v>
      </c>
      <c r="BF69" s="90">
        <f t="shared" si="31"/>
        <v>0.01</v>
      </c>
      <c r="BG69" s="90">
        <f t="shared" si="32"/>
        <v>3.3333333333333333E-2</v>
      </c>
      <c r="BH69" s="116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3">
        <v>1200</v>
      </c>
      <c r="L70" s="121" t="str">
        <f t="shared" si="22"/>
        <v>0</v>
      </c>
      <c r="M70" s="122">
        <f t="shared" si="23"/>
        <v>0</v>
      </c>
      <c r="N70" s="90">
        <f t="shared" si="35"/>
        <v>0</v>
      </c>
      <c r="O70" s="123">
        <f>IF(L70="",0,IFERROR(IF($M$2="ESTUDO",BH70,N70)+INDEX(AUXILIAR!$AO$3:$AO$8,MATCH(L70,{0;2;5;10;20;50},1))*1440,IF(M70="ESTUDO",BH70,N70)))</f>
        <v>0</v>
      </c>
      <c r="P70" s="94">
        <f t="shared" si="36"/>
        <v>0</v>
      </c>
      <c r="Q70" s="94">
        <f t="shared" si="37"/>
        <v>0</v>
      </c>
      <c r="R70" s="91" t="s">
        <v>0</v>
      </c>
      <c r="S70" s="88">
        <f t="shared" si="38"/>
        <v>0</v>
      </c>
      <c r="T70" s="94">
        <f>((AM70/(1+AUXILIAR!$BJ$4))-((AM70/(1+AUXILIAR!$BJ$4))*AUXILIAR!$BK$4))-(((AM70/(1+AUXILIAR!$BJ$4))-((AM70/(1+AUXILIAR!$BJ$4))*AUXILIAR!$BK$4))*((AUXILIAR!$BL$4+AUXILIAR!$BM$4)))</f>
        <v>0</v>
      </c>
      <c r="U70" s="94">
        <f>((S70/(1+AUXILIAR!$BJ$7))-((S70/(1+AUXILIAR!$BJ$7))*AUXILIAR!$BK$7))-(((S70/(1+AUXILIAR!$BJ$7))-((S70/(1+AUXILIAR!$BJ$7))*AUXILIAR!$BK$7))*((AUXILIAR!$BL$7+AUXILIAR!$BM$7)))</f>
        <v>0</v>
      </c>
      <c r="V70" s="96">
        <f>AM70-(AM70/(1+AUXILIAR!$BJ$4))</f>
        <v>0</v>
      </c>
      <c r="W70" s="96">
        <f>(AM70-V70)*AUXILIAR!$BK$4</f>
        <v>0</v>
      </c>
      <c r="X70" s="96">
        <f>(AM70-V70-W70)*(AUXILIAR!$BL$4+AUXILIAR!$BM$4)</f>
        <v>0</v>
      </c>
      <c r="Y70" s="96">
        <f>X70-(X70/(1+AUXILIAR!$BJ$7))</f>
        <v>0</v>
      </c>
      <c r="Z70" s="96">
        <f>(S70-Y70)*AUXILIAR!$BK$7</f>
        <v>0</v>
      </c>
      <c r="AA70" s="96">
        <f>(S70-Y70-Z70)*(AUXILIAR!$BL$7+AUXILIAR!$BM$7)</f>
        <v>0</v>
      </c>
      <c r="AB70" s="97">
        <f t="shared" si="39"/>
        <v>0</v>
      </c>
      <c r="AC70" s="97">
        <f t="shared" si="40"/>
        <v>0</v>
      </c>
      <c r="AD70" s="97">
        <f t="shared" si="41"/>
        <v>0</v>
      </c>
      <c r="AE70" s="97">
        <f t="shared" si="42"/>
        <v>0</v>
      </c>
      <c r="AF70" s="97">
        <f t="shared" si="43"/>
        <v>0</v>
      </c>
      <c r="AG70" s="96">
        <f t="shared" si="44"/>
        <v>-1</v>
      </c>
      <c r="AH70" s="94">
        <f t="shared" si="45"/>
        <v>0</v>
      </c>
      <c r="AI70" s="98">
        <f t="shared" si="46"/>
        <v>0</v>
      </c>
      <c r="AJ70" s="94">
        <f t="shared" si="47"/>
        <v>0</v>
      </c>
      <c r="AK70" s="94">
        <f t="shared" si="48"/>
        <v>0</v>
      </c>
      <c r="AL70" s="94">
        <f>AUXILIAR!$BM$12</f>
        <v>1</v>
      </c>
      <c r="AM70" s="94">
        <f>IF($E$2="XADREZ",
     IFERROR(VLOOKUP(G70,AUXILIAR!AB:AC,2,TRUE),0),
     IF(AC67="SIM", 0, IFERROR(VLOOKUP(G70,AUXILIAR!AB:AC,2,TRUE),0))
)</f>
        <v>0</v>
      </c>
      <c r="AN70" s="124">
        <f t="shared" si="29"/>
        <v>0</v>
      </c>
      <c r="AO70" s="94">
        <f t="shared" si="49"/>
        <v>0</v>
      </c>
      <c r="AP70" s="94">
        <f t="shared" si="50"/>
        <v>0</v>
      </c>
      <c r="AQ70" s="124">
        <f>IFERROR(INDEX(AUXILIAR!$AG$3:$AG$28,MATCH(G70,AUXILIAR!$AH$3:$AH$28,1))*AM70,0)</f>
        <v>0</v>
      </c>
      <c r="AR70" s="99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1"/>
        <v/>
      </c>
      <c r="AT70" s="89" t="str">
        <f t="shared" si="52"/>
        <v/>
      </c>
      <c r="AU70" s="89" t="str">
        <f t="shared" si="53"/>
        <v/>
      </c>
      <c r="AV70" s="89" t="str">
        <f t="shared" si="54"/>
        <v/>
      </c>
      <c r="AW70" s="89" t="str">
        <f t="shared" si="55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6"/>
        <v>0</v>
      </c>
      <c r="AZ70" s="89">
        <f t="shared" si="57"/>
        <v>0</v>
      </c>
      <c r="BA70" s="116">
        <f t="shared" si="58"/>
        <v>0</v>
      </c>
      <c r="BB70" s="116">
        <f t="shared" si="59"/>
        <v>0</v>
      </c>
      <c r="BC70" s="116">
        <f t="shared" si="60"/>
        <v>0</v>
      </c>
      <c r="BD70" s="116">
        <f t="shared" si="34"/>
        <v>0</v>
      </c>
      <c r="BE70" s="89">
        <f t="shared" si="30"/>
        <v>0</v>
      </c>
      <c r="BF70" s="90">
        <f t="shared" si="31"/>
        <v>0.01</v>
      </c>
      <c r="BG70" s="90">
        <f t="shared" si="32"/>
        <v>3.3333333333333333E-2</v>
      </c>
      <c r="BH70" s="116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3">
        <v>1200</v>
      </c>
      <c r="L71" s="121" t="str">
        <f t="shared" si="22"/>
        <v>0</v>
      </c>
      <c r="M71" s="122">
        <f t="shared" si="23"/>
        <v>0</v>
      </c>
      <c r="N71" s="90">
        <f t="shared" si="35"/>
        <v>0</v>
      </c>
      <c r="O71" s="123">
        <f>IF(L71="",0,IFERROR(IF($M$2="ESTUDO",BH71,N71)+INDEX(AUXILIAR!$AO$3:$AO$8,MATCH(L71,{0;2;5;10;20;50},1))*1440,IF(M71="ESTUDO",BH71,N71)))</f>
        <v>0</v>
      </c>
      <c r="P71" s="94">
        <f t="shared" si="36"/>
        <v>0</v>
      </c>
      <c r="Q71" s="94">
        <f t="shared" si="37"/>
        <v>0</v>
      </c>
      <c r="R71" s="91" t="s">
        <v>0</v>
      </c>
      <c r="S71" s="88">
        <f t="shared" si="38"/>
        <v>0</v>
      </c>
      <c r="T71" s="94">
        <f>((AM71/(1+AUXILIAR!$BJ$4))-((AM71/(1+AUXILIAR!$BJ$4))*AUXILIAR!$BK$4))-(((AM71/(1+AUXILIAR!$BJ$4))-((AM71/(1+AUXILIAR!$BJ$4))*AUXILIAR!$BK$4))*((AUXILIAR!$BL$4+AUXILIAR!$BM$4)))</f>
        <v>0</v>
      </c>
      <c r="U71" s="94">
        <f>((S71/(1+AUXILIAR!$BJ$7))-((S71/(1+AUXILIAR!$BJ$7))*AUXILIAR!$BK$7))-(((S71/(1+AUXILIAR!$BJ$7))-((S71/(1+AUXILIAR!$BJ$7))*AUXILIAR!$BK$7))*((AUXILIAR!$BL$7+AUXILIAR!$BM$7)))</f>
        <v>0</v>
      </c>
      <c r="V71" s="96">
        <f>AM71-(AM71/(1+AUXILIAR!$BJ$4))</f>
        <v>0</v>
      </c>
      <c r="W71" s="96">
        <f>(AM71-V71)*AUXILIAR!$BK$4</f>
        <v>0</v>
      </c>
      <c r="X71" s="96">
        <f>(AM71-V71-W71)*(AUXILIAR!$BL$4+AUXILIAR!$BM$4)</f>
        <v>0</v>
      </c>
      <c r="Y71" s="96">
        <f>X71-(X71/(1+AUXILIAR!$BJ$7))</f>
        <v>0</v>
      </c>
      <c r="Z71" s="96">
        <f>(S71-Y71)*AUXILIAR!$BK$7</f>
        <v>0</v>
      </c>
      <c r="AA71" s="96">
        <f>(S71-Y71-Z71)*(AUXILIAR!$BL$7+AUXILIAR!$BM$7)</f>
        <v>0</v>
      </c>
      <c r="AB71" s="97">
        <f t="shared" si="39"/>
        <v>0</v>
      </c>
      <c r="AC71" s="97">
        <f t="shared" si="40"/>
        <v>0</v>
      </c>
      <c r="AD71" s="97">
        <f t="shared" si="41"/>
        <v>0</v>
      </c>
      <c r="AE71" s="97">
        <f t="shared" si="42"/>
        <v>0</v>
      </c>
      <c r="AF71" s="97">
        <f t="shared" si="43"/>
        <v>0</v>
      </c>
      <c r="AG71" s="96">
        <f t="shared" si="44"/>
        <v>-1</v>
      </c>
      <c r="AH71" s="94">
        <f t="shared" si="45"/>
        <v>0</v>
      </c>
      <c r="AI71" s="98">
        <f t="shared" si="46"/>
        <v>0</v>
      </c>
      <c r="AJ71" s="94">
        <f t="shared" si="47"/>
        <v>0</v>
      </c>
      <c r="AK71" s="94">
        <f t="shared" si="48"/>
        <v>0</v>
      </c>
      <c r="AL71" s="94">
        <f>AUXILIAR!$BM$12</f>
        <v>1</v>
      </c>
      <c r="AM71" s="94">
        <f>IF($E$2="XADREZ",
     IFERROR(VLOOKUP(G71,AUXILIAR!AB:AC,2,TRUE),0),
     IF(AC68="SIM", 0, IFERROR(VLOOKUP(G71,AUXILIAR!AB:AC,2,TRUE),0))
)</f>
        <v>0</v>
      </c>
      <c r="AN71" s="124">
        <f t="shared" si="29"/>
        <v>0</v>
      </c>
      <c r="AO71" s="94">
        <f t="shared" si="49"/>
        <v>0</v>
      </c>
      <c r="AP71" s="94">
        <f t="shared" si="50"/>
        <v>0</v>
      </c>
      <c r="AQ71" s="124">
        <f>IFERROR(INDEX(AUXILIAR!$AG$3:$AG$28,MATCH(G71,AUXILIAR!$AH$3:$AH$28,1))*AM71,0)</f>
        <v>0</v>
      </c>
      <c r="AR71" s="99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1"/>
        <v/>
      </c>
      <c r="AT71" s="89" t="str">
        <f t="shared" si="52"/>
        <v/>
      </c>
      <c r="AU71" s="89" t="str">
        <f t="shared" si="53"/>
        <v/>
      </c>
      <c r="AV71" s="89" t="str">
        <f t="shared" si="54"/>
        <v/>
      </c>
      <c r="AW71" s="89" t="str">
        <f t="shared" si="55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6"/>
        <v>0</v>
      </c>
      <c r="AZ71" s="89">
        <f t="shared" si="57"/>
        <v>0</v>
      </c>
      <c r="BA71" s="116">
        <f t="shared" si="58"/>
        <v>0</v>
      </c>
      <c r="BB71" s="116">
        <f t="shared" si="59"/>
        <v>0</v>
      </c>
      <c r="BC71" s="116">
        <f t="shared" si="60"/>
        <v>0</v>
      </c>
      <c r="BD71" s="116">
        <f t="shared" si="34"/>
        <v>0</v>
      </c>
      <c r="BE71" s="89">
        <f t="shared" si="30"/>
        <v>0</v>
      </c>
      <c r="BF71" s="90">
        <f t="shared" si="31"/>
        <v>0.01</v>
      </c>
      <c r="BG71" s="90">
        <f t="shared" si="32"/>
        <v>3.3333333333333333E-2</v>
      </c>
      <c r="BH71" s="116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3">
        <v>1200</v>
      </c>
      <c r="L72" s="121" t="str">
        <f t="shared" si="22"/>
        <v>0</v>
      </c>
      <c r="M72" s="122">
        <f t="shared" si="23"/>
        <v>0</v>
      </c>
      <c r="N72" s="90">
        <f t="shared" si="35"/>
        <v>0</v>
      </c>
      <c r="O72" s="123">
        <f>IF(L72="",0,IFERROR(IF($M$2="ESTUDO",BH72,N72)+INDEX(AUXILIAR!$AO$3:$AO$8,MATCH(L72,{0;2;5;10;20;50},1))*1440,IF(M72="ESTUDO",BH72,N72)))</f>
        <v>0</v>
      </c>
      <c r="P72" s="94">
        <f t="shared" si="36"/>
        <v>0</v>
      </c>
      <c r="Q72" s="94">
        <f t="shared" si="37"/>
        <v>0</v>
      </c>
      <c r="R72" s="91" t="s">
        <v>0</v>
      </c>
      <c r="S72" s="88">
        <f t="shared" si="38"/>
        <v>0</v>
      </c>
      <c r="T72" s="94">
        <f>((AM72/(1+AUXILIAR!$BJ$4))-((AM72/(1+AUXILIAR!$BJ$4))*AUXILIAR!$BK$4))-(((AM72/(1+AUXILIAR!$BJ$4))-((AM72/(1+AUXILIAR!$BJ$4))*AUXILIAR!$BK$4))*((AUXILIAR!$BL$4+AUXILIAR!$BM$4)))</f>
        <v>0</v>
      </c>
      <c r="U72" s="94">
        <f>((S72/(1+AUXILIAR!$BJ$7))-((S72/(1+AUXILIAR!$BJ$7))*AUXILIAR!$BK$7))-(((S72/(1+AUXILIAR!$BJ$7))-((S72/(1+AUXILIAR!$BJ$7))*AUXILIAR!$BK$7))*((AUXILIAR!$BL$7+AUXILIAR!$BM$7)))</f>
        <v>0</v>
      </c>
      <c r="V72" s="96">
        <f>AM72-(AM72/(1+AUXILIAR!$BJ$4))</f>
        <v>0</v>
      </c>
      <c r="W72" s="96">
        <f>(AM72-V72)*AUXILIAR!$BK$4</f>
        <v>0</v>
      </c>
      <c r="X72" s="96">
        <f>(AM72-V72-W72)*(AUXILIAR!$BL$4+AUXILIAR!$BM$4)</f>
        <v>0</v>
      </c>
      <c r="Y72" s="96">
        <f>X72-(X72/(1+AUXILIAR!$BJ$7))</f>
        <v>0</v>
      </c>
      <c r="Z72" s="96">
        <f>(S72-Y72)*AUXILIAR!$BK$7</f>
        <v>0</v>
      </c>
      <c r="AA72" s="96">
        <f>(S72-Y72-Z72)*(AUXILIAR!$BL$7+AUXILIAR!$BM$7)</f>
        <v>0</v>
      </c>
      <c r="AB72" s="97">
        <f t="shared" si="39"/>
        <v>0</v>
      </c>
      <c r="AC72" s="97">
        <f t="shared" si="40"/>
        <v>0</v>
      </c>
      <c r="AD72" s="97">
        <f t="shared" si="41"/>
        <v>0</v>
      </c>
      <c r="AE72" s="97">
        <f t="shared" si="42"/>
        <v>0</v>
      </c>
      <c r="AF72" s="97">
        <f t="shared" si="43"/>
        <v>0</v>
      </c>
      <c r="AG72" s="96">
        <f t="shared" si="44"/>
        <v>-1</v>
      </c>
      <c r="AH72" s="94">
        <f t="shared" si="45"/>
        <v>0</v>
      </c>
      <c r="AI72" s="98">
        <f t="shared" si="46"/>
        <v>0</v>
      </c>
      <c r="AJ72" s="94">
        <f t="shared" si="47"/>
        <v>0</v>
      </c>
      <c r="AK72" s="94">
        <f t="shared" si="48"/>
        <v>0</v>
      </c>
      <c r="AL72" s="94">
        <f>AUXILIAR!$BM$12</f>
        <v>1</v>
      </c>
      <c r="AM72" s="94">
        <f>IF($E$2="XADREZ",
     IFERROR(VLOOKUP(G72,AUXILIAR!AB:AC,2,TRUE),0),
     IF(AC69="SIM", 0, IFERROR(VLOOKUP(G72,AUXILIAR!AB:AC,2,TRUE),0))
)</f>
        <v>0</v>
      </c>
      <c r="AN72" s="124">
        <f t="shared" si="29"/>
        <v>0</v>
      </c>
      <c r="AO72" s="94">
        <f t="shared" si="49"/>
        <v>0</v>
      </c>
      <c r="AP72" s="94">
        <f t="shared" si="50"/>
        <v>0</v>
      </c>
      <c r="AQ72" s="124">
        <f>IFERROR(INDEX(AUXILIAR!$AG$3:$AG$28,MATCH(G72,AUXILIAR!$AH$3:$AH$28,1))*AM72,0)</f>
        <v>0</v>
      </c>
      <c r="AR72" s="99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1"/>
        <v/>
      </c>
      <c r="AT72" s="89" t="str">
        <f t="shared" si="52"/>
        <v/>
      </c>
      <c r="AU72" s="89" t="str">
        <f t="shared" si="53"/>
        <v/>
      </c>
      <c r="AV72" s="89" t="str">
        <f t="shared" si="54"/>
        <v/>
      </c>
      <c r="AW72" s="89" t="str">
        <f t="shared" si="55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6"/>
        <v>0</v>
      </c>
      <c r="AZ72" s="89">
        <f t="shared" si="57"/>
        <v>0</v>
      </c>
      <c r="BA72" s="116">
        <f t="shared" si="58"/>
        <v>0</v>
      </c>
      <c r="BB72" s="116">
        <f t="shared" si="59"/>
        <v>0</v>
      </c>
      <c r="BC72" s="116">
        <f t="shared" si="60"/>
        <v>0</v>
      </c>
      <c r="BD72" s="116">
        <f t="shared" si="34"/>
        <v>0</v>
      </c>
      <c r="BE72" s="89">
        <f t="shared" si="30"/>
        <v>0</v>
      </c>
      <c r="BF72" s="90">
        <f t="shared" si="31"/>
        <v>0.01</v>
      </c>
      <c r="BG72" s="90">
        <f t="shared" si="32"/>
        <v>3.3333333333333333E-2</v>
      </c>
      <c r="BH72" s="116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3">
        <v>1200</v>
      </c>
      <c r="L73" s="121" t="str">
        <f t="shared" si="22"/>
        <v>0</v>
      </c>
      <c r="M73" s="122">
        <f t="shared" si="23"/>
        <v>0</v>
      </c>
      <c r="N73" s="90">
        <f t="shared" si="35"/>
        <v>0</v>
      </c>
      <c r="O73" s="123">
        <f>IF(L73="",0,IFERROR(IF($M$2="ESTUDO",BH73,N73)+INDEX(AUXILIAR!$AO$3:$AO$8,MATCH(L73,{0;2;5;10;20;50},1))*1440,IF(M73="ESTUDO",BH73,N73)))</f>
        <v>0</v>
      </c>
      <c r="P73" s="94">
        <f t="shared" si="36"/>
        <v>0</v>
      </c>
      <c r="Q73" s="94">
        <f t="shared" si="37"/>
        <v>0</v>
      </c>
      <c r="R73" s="91" t="s">
        <v>0</v>
      </c>
      <c r="S73" s="88">
        <f t="shared" si="38"/>
        <v>0</v>
      </c>
      <c r="T73" s="94">
        <f>((AM73/(1+AUXILIAR!$BJ$4))-((AM73/(1+AUXILIAR!$BJ$4))*AUXILIAR!$BK$4))-(((AM73/(1+AUXILIAR!$BJ$4))-((AM73/(1+AUXILIAR!$BJ$4))*AUXILIAR!$BK$4))*((AUXILIAR!$BL$4+AUXILIAR!$BM$4)))</f>
        <v>0</v>
      </c>
      <c r="U73" s="94">
        <f>((S73/(1+AUXILIAR!$BJ$7))-((S73/(1+AUXILIAR!$BJ$7))*AUXILIAR!$BK$7))-(((S73/(1+AUXILIAR!$BJ$7))-((S73/(1+AUXILIAR!$BJ$7))*AUXILIAR!$BK$7))*((AUXILIAR!$BL$7+AUXILIAR!$BM$7)))</f>
        <v>0</v>
      </c>
      <c r="V73" s="96">
        <f>AM73-(AM73/(1+AUXILIAR!$BJ$4))</f>
        <v>0</v>
      </c>
      <c r="W73" s="96">
        <f>(AM73-V73)*AUXILIAR!$BK$4</f>
        <v>0</v>
      </c>
      <c r="X73" s="96">
        <f>(AM73-V73-W73)*(AUXILIAR!$BL$4+AUXILIAR!$BM$4)</f>
        <v>0</v>
      </c>
      <c r="Y73" s="96">
        <f>X73-(X73/(1+AUXILIAR!$BJ$7))</f>
        <v>0</v>
      </c>
      <c r="Z73" s="96">
        <f>(S73-Y73)*AUXILIAR!$BK$7</f>
        <v>0</v>
      </c>
      <c r="AA73" s="96">
        <f>(S73-Y73-Z73)*(AUXILIAR!$BL$7+AUXILIAR!$BM$7)</f>
        <v>0</v>
      </c>
      <c r="AB73" s="97">
        <f t="shared" si="39"/>
        <v>0</v>
      </c>
      <c r="AC73" s="97">
        <f t="shared" si="40"/>
        <v>0</v>
      </c>
      <c r="AD73" s="97">
        <f t="shared" si="41"/>
        <v>0</v>
      </c>
      <c r="AE73" s="97">
        <f t="shared" si="42"/>
        <v>0</v>
      </c>
      <c r="AF73" s="97">
        <f t="shared" si="43"/>
        <v>0</v>
      </c>
      <c r="AG73" s="96">
        <f t="shared" si="44"/>
        <v>-1</v>
      </c>
      <c r="AH73" s="94">
        <f t="shared" si="45"/>
        <v>0</v>
      </c>
      <c r="AI73" s="98">
        <f t="shared" si="46"/>
        <v>0</v>
      </c>
      <c r="AJ73" s="94">
        <f t="shared" si="47"/>
        <v>0</v>
      </c>
      <c r="AK73" s="94">
        <f t="shared" si="48"/>
        <v>0</v>
      </c>
      <c r="AL73" s="94">
        <f>AUXILIAR!$BM$12</f>
        <v>1</v>
      </c>
      <c r="AM73" s="94">
        <f>IF($E$2="XADREZ",
     IFERROR(VLOOKUP(G73,AUXILIAR!AB:AC,2,TRUE),0),
     IF(AC70="SIM", 0, IFERROR(VLOOKUP(G73,AUXILIAR!AB:AC,2,TRUE),0))
)</f>
        <v>0</v>
      </c>
      <c r="AN73" s="124">
        <f t="shared" si="29"/>
        <v>0</v>
      </c>
      <c r="AO73" s="94">
        <f t="shared" si="49"/>
        <v>0</v>
      </c>
      <c r="AP73" s="94">
        <f t="shared" si="50"/>
        <v>0</v>
      </c>
      <c r="AQ73" s="124">
        <f>IFERROR(INDEX(AUXILIAR!$AG$3:$AG$28,MATCH(G73,AUXILIAR!$AH$3:$AH$28,1))*AM73,0)</f>
        <v>0</v>
      </c>
      <c r="AR73" s="99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1"/>
        <v/>
      </c>
      <c r="AT73" s="89" t="str">
        <f t="shared" si="52"/>
        <v/>
      </c>
      <c r="AU73" s="89" t="str">
        <f t="shared" si="53"/>
        <v/>
      </c>
      <c r="AV73" s="89" t="str">
        <f t="shared" si="54"/>
        <v/>
      </c>
      <c r="AW73" s="89" t="str">
        <f t="shared" si="55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6"/>
        <v>0</v>
      </c>
      <c r="AZ73" s="89">
        <f t="shared" si="57"/>
        <v>0</v>
      </c>
      <c r="BA73" s="116">
        <f t="shared" si="58"/>
        <v>0</v>
      </c>
      <c r="BB73" s="116">
        <f t="shared" si="59"/>
        <v>0</v>
      </c>
      <c r="BC73" s="116">
        <f t="shared" si="60"/>
        <v>0</v>
      </c>
      <c r="BD73" s="116">
        <f t="shared" si="34"/>
        <v>0</v>
      </c>
      <c r="BE73" s="89">
        <f t="shared" si="30"/>
        <v>0</v>
      </c>
      <c r="BF73" s="90">
        <f t="shared" si="31"/>
        <v>0.01</v>
      </c>
      <c r="BG73" s="90">
        <f t="shared" si="32"/>
        <v>3.3333333333333333E-2</v>
      </c>
      <c r="BH73" s="116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3">
        <v>1200</v>
      </c>
      <c r="L74" s="121" t="str">
        <f t="shared" si="22"/>
        <v>0</v>
      </c>
      <c r="M74" s="122">
        <f t="shared" si="23"/>
        <v>0</v>
      </c>
      <c r="N74" s="90">
        <f t="shared" si="35"/>
        <v>0</v>
      </c>
      <c r="O74" s="123">
        <f>IF(L74="",0,IFERROR(IF($M$2="ESTUDO",BH74,N74)+INDEX(AUXILIAR!$AO$3:$AO$8,MATCH(L74,{0;2;5;10;20;50},1))*1440,IF(M74="ESTUDO",BH74,N74)))</f>
        <v>0</v>
      </c>
      <c r="P74" s="94">
        <f t="shared" si="36"/>
        <v>0</v>
      </c>
      <c r="Q74" s="94">
        <f t="shared" si="37"/>
        <v>0</v>
      </c>
      <c r="R74" s="91" t="s">
        <v>0</v>
      </c>
      <c r="S74" s="88">
        <f t="shared" si="38"/>
        <v>0</v>
      </c>
      <c r="T74" s="94">
        <f>((AM74/(1+AUXILIAR!$BJ$4))-((AM74/(1+AUXILIAR!$BJ$4))*AUXILIAR!$BK$4))-(((AM74/(1+AUXILIAR!$BJ$4))-((AM74/(1+AUXILIAR!$BJ$4))*AUXILIAR!$BK$4))*((AUXILIAR!$BL$4+AUXILIAR!$BM$4)))</f>
        <v>0</v>
      </c>
      <c r="U74" s="94">
        <f>((S74/(1+AUXILIAR!$BJ$7))-((S74/(1+AUXILIAR!$BJ$7))*AUXILIAR!$BK$7))-(((S74/(1+AUXILIAR!$BJ$7))-((S74/(1+AUXILIAR!$BJ$7))*AUXILIAR!$BK$7))*((AUXILIAR!$BL$7+AUXILIAR!$BM$7)))</f>
        <v>0</v>
      </c>
      <c r="V74" s="96">
        <f>AM74-(AM74/(1+AUXILIAR!$BJ$4))</f>
        <v>0</v>
      </c>
      <c r="W74" s="96">
        <f>(AM74-V74)*AUXILIAR!$BK$4</f>
        <v>0</v>
      </c>
      <c r="X74" s="96">
        <f>(AM74-V74-W74)*(AUXILIAR!$BL$4+AUXILIAR!$BM$4)</f>
        <v>0</v>
      </c>
      <c r="Y74" s="96">
        <f>X74-(X74/(1+AUXILIAR!$BJ$7))</f>
        <v>0</v>
      </c>
      <c r="Z74" s="96">
        <f>(S74-Y74)*AUXILIAR!$BK$7</f>
        <v>0</v>
      </c>
      <c r="AA74" s="96">
        <f>(S74-Y74-Z74)*(AUXILIAR!$BL$7+AUXILIAR!$BM$7)</f>
        <v>0</v>
      </c>
      <c r="AB74" s="97">
        <f t="shared" si="39"/>
        <v>0</v>
      </c>
      <c r="AC74" s="97">
        <f t="shared" si="40"/>
        <v>0</v>
      </c>
      <c r="AD74" s="97">
        <f t="shared" si="41"/>
        <v>0</v>
      </c>
      <c r="AE74" s="97">
        <f t="shared" si="42"/>
        <v>0</v>
      </c>
      <c r="AF74" s="97">
        <f t="shared" si="43"/>
        <v>0</v>
      </c>
      <c r="AG74" s="96">
        <f t="shared" si="44"/>
        <v>-1</v>
      </c>
      <c r="AH74" s="94">
        <f t="shared" si="45"/>
        <v>0</v>
      </c>
      <c r="AI74" s="98">
        <f t="shared" si="46"/>
        <v>0</v>
      </c>
      <c r="AJ74" s="94">
        <f t="shared" si="47"/>
        <v>0</v>
      </c>
      <c r="AK74" s="94">
        <f t="shared" si="48"/>
        <v>0</v>
      </c>
      <c r="AL74" s="94">
        <f>AUXILIAR!$BM$12</f>
        <v>1</v>
      </c>
      <c r="AM74" s="94">
        <f>IF($E$2="XADREZ",
     IFERROR(VLOOKUP(G74,AUXILIAR!AB:AC,2,TRUE),0),
     IF(AC71="SIM", 0, IFERROR(VLOOKUP(G74,AUXILIAR!AB:AC,2,TRUE),0))
)</f>
        <v>0</v>
      </c>
      <c r="AN74" s="124">
        <f t="shared" si="29"/>
        <v>0</v>
      </c>
      <c r="AO74" s="94">
        <f t="shared" si="49"/>
        <v>0</v>
      </c>
      <c r="AP74" s="94">
        <f t="shared" si="50"/>
        <v>0</v>
      </c>
      <c r="AQ74" s="124">
        <f>IFERROR(INDEX(AUXILIAR!$AG$3:$AG$28,MATCH(G74,AUXILIAR!$AH$3:$AH$28,1))*AM74,0)</f>
        <v>0</v>
      </c>
      <c r="AR74" s="99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1"/>
        <v/>
      </c>
      <c r="AT74" s="89" t="str">
        <f t="shared" si="52"/>
        <v/>
      </c>
      <c r="AU74" s="89" t="str">
        <f t="shared" si="53"/>
        <v/>
      </c>
      <c r="AV74" s="89" t="str">
        <f t="shared" si="54"/>
        <v/>
      </c>
      <c r="AW74" s="89" t="str">
        <f t="shared" si="55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6"/>
        <v>0</v>
      </c>
      <c r="AZ74" s="89">
        <f t="shared" si="57"/>
        <v>0</v>
      </c>
      <c r="BA74" s="116">
        <f t="shared" si="58"/>
        <v>0</v>
      </c>
      <c r="BB74" s="116">
        <f t="shared" si="59"/>
        <v>0</v>
      </c>
      <c r="BC74" s="116">
        <f t="shared" si="60"/>
        <v>0</v>
      </c>
      <c r="BD74" s="116">
        <f t="shared" si="34"/>
        <v>0</v>
      </c>
      <c r="BE74" s="89">
        <f t="shared" si="30"/>
        <v>0</v>
      </c>
      <c r="BF74" s="90">
        <f t="shared" si="31"/>
        <v>0.01</v>
      </c>
      <c r="BG74" s="90">
        <f t="shared" si="32"/>
        <v>3.3333333333333333E-2</v>
      </c>
      <c r="BH74" s="116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3">
        <v>1200</v>
      </c>
      <c r="L75" s="121" t="str">
        <f t="shared" si="22"/>
        <v>0</v>
      </c>
      <c r="M75" s="122">
        <f t="shared" si="23"/>
        <v>0</v>
      </c>
      <c r="N75" s="90">
        <f t="shared" si="35"/>
        <v>0</v>
      </c>
      <c r="O75" s="123">
        <f>IF(L75="",0,IFERROR(IF($M$2="ESTUDO",BH75,N75)+INDEX(AUXILIAR!$AO$3:$AO$8,MATCH(L75,{0;2;5;10;20;50},1))*1440,IF(M75="ESTUDO",BH75,N75)))</f>
        <v>0</v>
      </c>
      <c r="P75" s="94">
        <f t="shared" si="36"/>
        <v>0</v>
      </c>
      <c r="Q75" s="94">
        <f t="shared" si="37"/>
        <v>0</v>
      </c>
      <c r="R75" s="91" t="s">
        <v>0</v>
      </c>
      <c r="S75" s="88">
        <f t="shared" si="38"/>
        <v>0</v>
      </c>
      <c r="T75" s="94">
        <f>((AM75/(1+AUXILIAR!$BJ$4))-((AM75/(1+AUXILIAR!$BJ$4))*AUXILIAR!$BK$4))-(((AM75/(1+AUXILIAR!$BJ$4))-((AM75/(1+AUXILIAR!$BJ$4))*AUXILIAR!$BK$4))*((AUXILIAR!$BL$4+AUXILIAR!$BM$4)))</f>
        <v>0</v>
      </c>
      <c r="U75" s="94">
        <f>((S75/(1+AUXILIAR!$BJ$7))-((S75/(1+AUXILIAR!$BJ$7))*AUXILIAR!$BK$7))-(((S75/(1+AUXILIAR!$BJ$7))-((S75/(1+AUXILIAR!$BJ$7))*AUXILIAR!$BK$7))*((AUXILIAR!$BL$7+AUXILIAR!$BM$7)))</f>
        <v>0</v>
      </c>
      <c r="V75" s="96">
        <f>AM75-(AM75/(1+AUXILIAR!$BJ$4))</f>
        <v>0</v>
      </c>
      <c r="W75" s="96">
        <f>(AM75-V75)*AUXILIAR!$BK$4</f>
        <v>0</v>
      </c>
      <c r="X75" s="96">
        <f>(AM75-V75-W75)*(AUXILIAR!$BL$4+AUXILIAR!$BM$4)</f>
        <v>0</v>
      </c>
      <c r="Y75" s="96">
        <f>X75-(X75/(1+AUXILIAR!$BJ$7))</f>
        <v>0</v>
      </c>
      <c r="Z75" s="96">
        <f>(S75-Y75)*AUXILIAR!$BK$7</f>
        <v>0</v>
      </c>
      <c r="AA75" s="96">
        <f>(S75-Y75-Z75)*(AUXILIAR!$BL$7+AUXILIAR!$BM$7)</f>
        <v>0</v>
      </c>
      <c r="AB75" s="97">
        <f t="shared" si="39"/>
        <v>0</v>
      </c>
      <c r="AC75" s="97">
        <f t="shared" si="40"/>
        <v>0</v>
      </c>
      <c r="AD75" s="97">
        <f t="shared" si="41"/>
        <v>0</v>
      </c>
      <c r="AE75" s="97">
        <f t="shared" si="42"/>
        <v>0</v>
      </c>
      <c r="AF75" s="97">
        <f t="shared" si="43"/>
        <v>0</v>
      </c>
      <c r="AG75" s="96">
        <f t="shared" si="44"/>
        <v>-1</v>
      </c>
      <c r="AH75" s="94">
        <f t="shared" si="45"/>
        <v>0</v>
      </c>
      <c r="AI75" s="98">
        <f t="shared" si="46"/>
        <v>0</v>
      </c>
      <c r="AJ75" s="94">
        <f t="shared" si="47"/>
        <v>0</v>
      </c>
      <c r="AK75" s="94">
        <f t="shared" si="48"/>
        <v>0</v>
      </c>
      <c r="AL75" s="94">
        <f>AUXILIAR!$BM$12</f>
        <v>1</v>
      </c>
      <c r="AM75" s="94">
        <f>IF($E$2="XADREZ",
     IFERROR(VLOOKUP(G75,AUXILIAR!AB:AC,2,TRUE),0),
     IF(AC72="SIM", 0, IFERROR(VLOOKUP(G75,AUXILIAR!AB:AC,2,TRUE),0))
)</f>
        <v>0</v>
      </c>
      <c r="AN75" s="124">
        <f t="shared" si="29"/>
        <v>0</v>
      </c>
      <c r="AO75" s="94">
        <f t="shared" si="49"/>
        <v>0</v>
      </c>
      <c r="AP75" s="94">
        <f t="shared" si="50"/>
        <v>0</v>
      </c>
      <c r="AQ75" s="124">
        <f>IFERROR(INDEX(AUXILIAR!$AG$3:$AG$28,MATCH(G75,AUXILIAR!$AH$3:$AH$28,1))*AM75,0)</f>
        <v>0</v>
      </c>
      <c r="AR75" s="99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1"/>
        <v/>
      </c>
      <c r="AT75" s="89" t="str">
        <f t="shared" si="52"/>
        <v/>
      </c>
      <c r="AU75" s="89" t="str">
        <f t="shared" si="53"/>
        <v/>
      </c>
      <c r="AV75" s="89" t="str">
        <f t="shared" si="54"/>
        <v/>
      </c>
      <c r="AW75" s="89" t="str">
        <f t="shared" si="55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6"/>
        <v>0</v>
      </c>
      <c r="AZ75" s="89">
        <f t="shared" si="57"/>
        <v>0</v>
      </c>
      <c r="BA75" s="116">
        <f t="shared" si="58"/>
        <v>0</v>
      </c>
      <c r="BB75" s="116">
        <f t="shared" si="59"/>
        <v>0</v>
      </c>
      <c r="BC75" s="116">
        <f t="shared" si="60"/>
        <v>0</v>
      </c>
      <c r="BD75" s="116">
        <f t="shared" si="34"/>
        <v>0</v>
      </c>
      <c r="BE75" s="89">
        <f t="shared" si="30"/>
        <v>0</v>
      </c>
      <c r="BF75" s="90">
        <f t="shared" si="31"/>
        <v>0.01</v>
      </c>
      <c r="BG75" s="90">
        <f t="shared" si="32"/>
        <v>3.3333333333333333E-2</v>
      </c>
      <c r="BH75" s="116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3">
        <v>1200</v>
      </c>
      <c r="L76" s="121" t="str">
        <f t="shared" si="22"/>
        <v>0</v>
      </c>
      <c r="M76" s="122">
        <f t="shared" si="23"/>
        <v>0</v>
      </c>
      <c r="N76" s="90">
        <f t="shared" si="35"/>
        <v>0</v>
      </c>
      <c r="O76" s="123">
        <f>IF(L76="",0,IFERROR(IF($M$2="ESTUDO",BH76,N76)+INDEX(AUXILIAR!$AO$3:$AO$8,MATCH(L76,{0;2;5;10;20;50},1))*1440,IF(M76="ESTUDO",BH76,N76)))</f>
        <v>0</v>
      </c>
      <c r="P76" s="94">
        <f t="shared" si="36"/>
        <v>0</v>
      </c>
      <c r="Q76" s="94">
        <f t="shared" si="37"/>
        <v>0</v>
      </c>
      <c r="R76" s="91" t="s">
        <v>0</v>
      </c>
      <c r="S76" s="88">
        <f t="shared" si="38"/>
        <v>0</v>
      </c>
      <c r="T76" s="94">
        <f>((AM76/(1+AUXILIAR!$BJ$4))-((AM76/(1+AUXILIAR!$BJ$4))*AUXILIAR!$BK$4))-(((AM76/(1+AUXILIAR!$BJ$4))-((AM76/(1+AUXILIAR!$BJ$4))*AUXILIAR!$BK$4))*((AUXILIAR!$BL$4+AUXILIAR!$BM$4)))</f>
        <v>0</v>
      </c>
      <c r="U76" s="94">
        <f>((S76/(1+AUXILIAR!$BJ$7))-((S76/(1+AUXILIAR!$BJ$7))*AUXILIAR!$BK$7))-(((S76/(1+AUXILIAR!$BJ$7))-((S76/(1+AUXILIAR!$BJ$7))*AUXILIAR!$BK$7))*((AUXILIAR!$BL$7+AUXILIAR!$BM$7)))</f>
        <v>0</v>
      </c>
      <c r="V76" s="96">
        <f>AM76-(AM76/(1+AUXILIAR!$BJ$4))</f>
        <v>0</v>
      </c>
      <c r="W76" s="96">
        <f>(AM76-V76)*AUXILIAR!$BK$4</f>
        <v>0</v>
      </c>
      <c r="X76" s="96">
        <f>(AM76-V76-W76)*(AUXILIAR!$BL$4+AUXILIAR!$BM$4)</f>
        <v>0</v>
      </c>
      <c r="Y76" s="96">
        <f>X76-(X76/(1+AUXILIAR!$BJ$7))</f>
        <v>0</v>
      </c>
      <c r="Z76" s="96">
        <f>(S76-Y76)*AUXILIAR!$BK$7</f>
        <v>0</v>
      </c>
      <c r="AA76" s="96">
        <f>(S76-Y76-Z76)*(AUXILIAR!$BL$7+AUXILIAR!$BM$7)</f>
        <v>0</v>
      </c>
      <c r="AB76" s="97">
        <f t="shared" si="39"/>
        <v>0</v>
      </c>
      <c r="AC76" s="97">
        <f t="shared" si="40"/>
        <v>0</v>
      </c>
      <c r="AD76" s="97">
        <f t="shared" si="41"/>
        <v>0</v>
      </c>
      <c r="AE76" s="97">
        <f t="shared" si="42"/>
        <v>0</v>
      </c>
      <c r="AF76" s="97">
        <f t="shared" si="43"/>
        <v>0</v>
      </c>
      <c r="AG76" s="96">
        <f t="shared" si="44"/>
        <v>-1</v>
      </c>
      <c r="AH76" s="94">
        <f t="shared" si="45"/>
        <v>0</v>
      </c>
      <c r="AI76" s="98">
        <f t="shared" si="46"/>
        <v>0</v>
      </c>
      <c r="AJ76" s="94">
        <f t="shared" si="47"/>
        <v>0</v>
      </c>
      <c r="AK76" s="94">
        <f t="shared" si="48"/>
        <v>0</v>
      </c>
      <c r="AL76" s="94">
        <f>AUXILIAR!$BM$12</f>
        <v>1</v>
      </c>
      <c r="AM76" s="94">
        <f>IF($E$2="XADREZ",
     IFERROR(VLOOKUP(G76,AUXILIAR!AB:AC,2,TRUE),0),
     IF(AC73="SIM", 0, IFERROR(VLOOKUP(G76,AUXILIAR!AB:AC,2,TRUE),0))
)</f>
        <v>0</v>
      </c>
      <c r="AN76" s="124">
        <f t="shared" si="29"/>
        <v>0</v>
      </c>
      <c r="AO76" s="94">
        <f t="shared" si="49"/>
        <v>0</v>
      </c>
      <c r="AP76" s="94">
        <f t="shared" si="50"/>
        <v>0</v>
      </c>
      <c r="AQ76" s="124">
        <f>IFERROR(INDEX(AUXILIAR!$AG$3:$AG$28,MATCH(G76,AUXILIAR!$AH$3:$AH$28,1))*AM76,0)</f>
        <v>0</v>
      </c>
      <c r="AR76" s="99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1"/>
        <v/>
      </c>
      <c r="AT76" s="89" t="str">
        <f t="shared" si="52"/>
        <v/>
      </c>
      <c r="AU76" s="89" t="str">
        <f t="shared" si="53"/>
        <v/>
      </c>
      <c r="AV76" s="89" t="str">
        <f t="shared" si="54"/>
        <v/>
      </c>
      <c r="AW76" s="89" t="str">
        <f t="shared" si="55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6"/>
        <v>0</v>
      </c>
      <c r="AZ76" s="89">
        <f t="shared" si="57"/>
        <v>0</v>
      </c>
      <c r="BA76" s="116">
        <f t="shared" si="58"/>
        <v>0</v>
      </c>
      <c r="BB76" s="116">
        <f t="shared" si="59"/>
        <v>0</v>
      </c>
      <c r="BC76" s="116">
        <f t="shared" si="60"/>
        <v>0</v>
      </c>
      <c r="BD76" s="116">
        <f t="shared" si="34"/>
        <v>0</v>
      </c>
      <c r="BE76" s="89">
        <f t="shared" si="30"/>
        <v>0</v>
      </c>
      <c r="BF76" s="90">
        <f t="shared" si="31"/>
        <v>0.01</v>
      </c>
      <c r="BG76" s="90">
        <f t="shared" si="32"/>
        <v>3.3333333333333333E-2</v>
      </c>
      <c r="BH76" s="116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3">
        <v>1200</v>
      </c>
      <c r="L77" s="121" t="str">
        <f t="shared" si="22"/>
        <v>0</v>
      </c>
      <c r="M77" s="122">
        <f t="shared" si="23"/>
        <v>0</v>
      </c>
      <c r="N77" s="90">
        <f t="shared" si="35"/>
        <v>0</v>
      </c>
      <c r="O77" s="123">
        <f>IF(L77="",0,IFERROR(IF($M$2="ESTUDO",BH77,N77)+INDEX(AUXILIAR!$AO$3:$AO$8,MATCH(L77,{0;2;5;10;20;50},1))*1440,IF(M77="ESTUDO",BH77,N77)))</f>
        <v>0</v>
      </c>
      <c r="P77" s="94">
        <f t="shared" si="36"/>
        <v>0</v>
      </c>
      <c r="Q77" s="94">
        <f t="shared" si="37"/>
        <v>0</v>
      </c>
      <c r="R77" s="91" t="s">
        <v>0</v>
      </c>
      <c r="S77" s="88">
        <f t="shared" si="38"/>
        <v>0</v>
      </c>
      <c r="T77" s="94">
        <f>((AM77/(1+AUXILIAR!$BJ$4))-((AM77/(1+AUXILIAR!$BJ$4))*AUXILIAR!$BK$4))-(((AM77/(1+AUXILIAR!$BJ$4))-((AM77/(1+AUXILIAR!$BJ$4))*AUXILIAR!$BK$4))*((AUXILIAR!$BL$4+AUXILIAR!$BM$4)))</f>
        <v>0</v>
      </c>
      <c r="U77" s="94">
        <f>((S77/(1+AUXILIAR!$BJ$7))-((S77/(1+AUXILIAR!$BJ$7))*AUXILIAR!$BK$7))-(((S77/(1+AUXILIAR!$BJ$7))-((S77/(1+AUXILIAR!$BJ$7))*AUXILIAR!$BK$7))*((AUXILIAR!$BL$7+AUXILIAR!$BM$7)))</f>
        <v>0</v>
      </c>
      <c r="V77" s="96">
        <f>AM77-(AM77/(1+AUXILIAR!$BJ$4))</f>
        <v>0</v>
      </c>
      <c r="W77" s="96">
        <f>(AM77-V77)*AUXILIAR!$BK$4</f>
        <v>0</v>
      </c>
      <c r="X77" s="96">
        <f>(AM77-V77-W77)*(AUXILIAR!$BL$4+AUXILIAR!$BM$4)</f>
        <v>0</v>
      </c>
      <c r="Y77" s="96">
        <f>X77-(X77/(1+AUXILIAR!$BJ$7))</f>
        <v>0</v>
      </c>
      <c r="Z77" s="96">
        <f>(S77-Y77)*AUXILIAR!$BK$7</f>
        <v>0</v>
      </c>
      <c r="AA77" s="96">
        <f>(S77-Y77-Z77)*(AUXILIAR!$BL$7+AUXILIAR!$BM$7)</f>
        <v>0</v>
      </c>
      <c r="AB77" s="97">
        <f t="shared" si="39"/>
        <v>0</v>
      </c>
      <c r="AC77" s="97">
        <f t="shared" si="40"/>
        <v>0</v>
      </c>
      <c r="AD77" s="97">
        <f t="shared" si="41"/>
        <v>0</v>
      </c>
      <c r="AE77" s="97">
        <f t="shared" si="42"/>
        <v>0</v>
      </c>
      <c r="AF77" s="97">
        <f t="shared" si="43"/>
        <v>0</v>
      </c>
      <c r="AG77" s="96">
        <f t="shared" si="44"/>
        <v>-1</v>
      </c>
      <c r="AH77" s="94">
        <f t="shared" si="45"/>
        <v>0</v>
      </c>
      <c r="AI77" s="98">
        <f t="shared" si="46"/>
        <v>0</v>
      </c>
      <c r="AJ77" s="94">
        <f t="shared" si="47"/>
        <v>0</v>
      </c>
      <c r="AK77" s="94">
        <f t="shared" si="48"/>
        <v>0</v>
      </c>
      <c r="AL77" s="94">
        <f>AUXILIAR!$BM$12</f>
        <v>1</v>
      </c>
      <c r="AM77" s="94">
        <f>IF($E$2="XADREZ",
     IFERROR(VLOOKUP(G77,AUXILIAR!AB:AC,2,TRUE),0),
     IF(AC74="SIM", 0, IFERROR(VLOOKUP(G77,AUXILIAR!AB:AC,2,TRUE),0))
)</f>
        <v>0</v>
      </c>
      <c r="AN77" s="124">
        <f t="shared" si="29"/>
        <v>0</v>
      </c>
      <c r="AO77" s="94">
        <f t="shared" si="49"/>
        <v>0</v>
      </c>
      <c r="AP77" s="94">
        <f t="shared" si="50"/>
        <v>0</v>
      </c>
      <c r="AQ77" s="124">
        <f>IFERROR(INDEX(AUXILIAR!$AG$3:$AG$28,MATCH(G77,AUXILIAR!$AH$3:$AH$28,1))*AM77,0)</f>
        <v>0</v>
      </c>
      <c r="AR77" s="99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1"/>
        <v/>
      </c>
      <c r="AT77" s="89" t="str">
        <f t="shared" si="52"/>
        <v/>
      </c>
      <c r="AU77" s="89" t="str">
        <f t="shared" si="53"/>
        <v/>
      </c>
      <c r="AV77" s="89" t="str">
        <f t="shared" si="54"/>
        <v/>
      </c>
      <c r="AW77" s="89" t="str">
        <f t="shared" si="55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6"/>
        <v>0</v>
      </c>
      <c r="AZ77" s="89">
        <f t="shared" si="57"/>
        <v>0</v>
      </c>
      <c r="BA77" s="116">
        <f t="shared" si="58"/>
        <v>0</v>
      </c>
      <c r="BB77" s="116">
        <f t="shared" si="59"/>
        <v>0</v>
      </c>
      <c r="BC77" s="116">
        <f t="shared" si="60"/>
        <v>0</v>
      </c>
      <c r="BD77" s="116">
        <f t="shared" si="34"/>
        <v>0</v>
      </c>
      <c r="BE77" s="89">
        <f t="shared" si="30"/>
        <v>0</v>
      </c>
      <c r="BF77" s="90">
        <f t="shared" si="31"/>
        <v>0.01</v>
      </c>
      <c r="BG77" s="90">
        <f t="shared" si="32"/>
        <v>3.3333333333333333E-2</v>
      </c>
      <c r="BH77" s="116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3">
        <v>1200</v>
      </c>
      <c r="L78" s="121" t="str">
        <f t="shared" si="22"/>
        <v>0</v>
      </c>
      <c r="M78" s="122">
        <f t="shared" si="23"/>
        <v>0</v>
      </c>
      <c r="N78" s="90">
        <f t="shared" ref="N78:N109" si="61">IFERROR((AU78/AX78)+BC78,0)</f>
        <v>0</v>
      </c>
      <c r="O78" s="123">
        <f>IF(L78="",0,IFERROR(IF($M$2="ESTUDO",BH78,N78)+INDEX(AUXILIAR!$AO$3:$AO$8,MATCH(L78,{0;2;5;10;20;50},1))*1440,IF(M78="ESTUDO",BH78,N78)))</f>
        <v>0</v>
      </c>
      <c r="P78" s="94">
        <f t="shared" ref="P78:P109" si="62">IFERROR(Q78/C78,0)</f>
        <v>0</v>
      </c>
      <c r="Q78" s="94">
        <f t="shared" ref="Q78:Q109" si="63">IFERROR($D$2 * ROUND(M78, 2), 0)</f>
        <v>0</v>
      </c>
      <c r="R78" s="91" t="s">
        <v>0</v>
      </c>
      <c r="S78" s="88">
        <f t="shared" ref="S78:S109" si="64">IF(A78="",0,$D$2)</f>
        <v>0</v>
      </c>
      <c r="T78" s="94">
        <f>((AM78/(1+AUXILIAR!$BJ$4))-((AM78/(1+AUXILIAR!$BJ$4))*AUXILIAR!$BK$4))-(((AM78/(1+AUXILIAR!$BJ$4))-((AM78/(1+AUXILIAR!$BJ$4))*AUXILIAR!$BK$4))*((AUXILIAR!$BL$4+AUXILIAR!$BM$4)))</f>
        <v>0</v>
      </c>
      <c r="U78" s="94">
        <f>((S78/(1+AUXILIAR!$BJ$7))-((S78/(1+AUXILIAR!$BJ$7))*AUXILIAR!$BK$7))-(((S78/(1+AUXILIAR!$BJ$7))-((S78/(1+AUXILIAR!$BJ$7))*AUXILIAR!$BK$7))*((AUXILIAR!$BL$7+AUXILIAR!$BM$7)))</f>
        <v>0</v>
      </c>
      <c r="V78" s="96">
        <f>AM78-(AM78/(1+AUXILIAR!$BJ$4))</f>
        <v>0</v>
      </c>
      <c r="W78" s="96">
        <f>(AM78-V78)*AUXILIAR!$BK$4</f>
        <v>0</v>
      </c>
      <c r="X78" s="96">
        <f>(AM78-V78-W78)*(AUXILIAR!$BL$4+AUXILIAR!$BM$4)</f>
        <v>0</v>
      </c>
      <c r="Y78" s="96">
        <f>X78-(X78/(1+AUXILIAR!$BJ$7))</f>
        <v>0</v>
      </c>
      <c r="Z78" s="96">
        <f>(S78-Y78)*AUXILIAR!$BK$7</f>
        <v>0</v>
      </c>
      <c r="AA78" s="96">
        <f>(S78-Y78-Z78)*(AUXILIAR!$BL$7+AUXILIAR!$BM$7)</f>
        <v>0</v>
      </c>
      <c r="AB78" s="97">
        <f t="shared" ref="AB78:AB109" si="65">V78-Y78</f>
        <v>0</v>
      </c>
      <c r="AC78" s="97">
        <f t="shared" ref="AC78:AC109" si="66">W78-Z78</f>
        <v>0</v>
      </c>
      <c r="AD78" s="97">
        <f t="shared" ref="AD78:AD109" si="67">X78-AA78</f>
        <v>0</v>
      </c>
      <c r="AE78" s="97">
        <f t="shared" ref="AE78:AE109" si="68">AB78+AC78+AD78</f>
        <v>0</v>
      </c>
      <c r="AF78" s="97">
        <f t="shared" ref="AF78:AF109" si="69">IFERROR(S78*M78,0)</f>
        <v>0</v>
      </c>
      <c r="AG78" s="96">
        <f t="shared" ref="AG78:AG109" si="70">IFERROR((S78-AM78+AE78-AO78-AP78-AQ78-AL78),0)</f>
        <v>-1</v>
      </c>
      <c r="AH78" s="94">
        <f t="shared" ref="AH78:AH109" si="71">IFERROR(AG78*M78,0)</f>
        <v>0</v>
      </c>
      <c r="AI78" s="98">
        <f t="shared" ref="AI78:AI109" si="72">IFERROR(AG78/S78,0)</f>
        <v>0</v>
      </c>
      <c r="AJ78" s="94">
        <f t="shared" ref="AJ78:AJ109" si="73">IF(G78="",0,(AM78+AL78+AQ78+AP78+AO78+AN78))</f>
        <v>0</v>
      </c>
      <c r="AK78" s="94">
        <f t="shared" ref="AK78:AK109" si="74">IFERROR(AJ78*M78,0)</f>
        <v>0</v>
      </c>
      <c r="AL78" s="94">
        <f>AUXILIAR!$BM$12</f>
        <v>1</v>
      </c>
      <c r="AM78" s="94">
        <f>IF($E$2="XADREZ",
     IFERROR(VLOOKUP(G78,AUXILIAR!AB:AC,2,TRUE),0),
     IF(AC75="SIM", 0, IFERROR(VLOOKUP(G78,AUXILIAR!AB:AC,2,TRUE),0))
)</f>
        <v>0</v>
      </c>
      <c r="AN78" s="124">
        <f t="shared" si="29"/>
        <v>0</v>
      </c>
      <c r="AO78" s="94">
        <f t="shared" ref="AO78:AO109" si="75">IFERROR(S78*$B$2,0)</f>
        <v>0</v>
      </c>
      <c r="AP78" s="94">
        <f t="shared" ref="AP78:AP109" si="76">IF(G78="",0,$C$2)</f>
        <v>0</v>
      </c>
      <c r="AQ78" s="124">
        <f>IFERROR(INDEX(AUXILIAR!$AG$3:$AG$28,MATCH(G78,AUXILIAR!$AH$3:$AH$28,1))*AM78,0)</f>
        <v>0</v>
      </c>
      <c r="AR78" s="99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77">IF(OR(D78="Q",D78="R"),(H78*I78),IF(D78="T",(H78*I78)/2,IF(D78="TP",((H78+I78)*J78)/2,IF(D78="C",PI()*((H78/2)^2),""))))</f>
        <v/>
      </c>
      <c r="AT78" s="89" t="str">
        <f t="shared" ref="AT78:AT109" si="78">IFERROR(AS78*C78,"")</f>
        <v/>
      </c>
      <c r="AU78" s="89" t="str">
        <f t="shared" ref="AU78:AU109" si="79">IFERROR(AV78*C78,"")</f>
        <v/>
      </c>
      <c r="AV78" s="89" t="str">
        <f t="shared" ref="AV78:AV109" si="80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1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2">IF(OR(E78=0,F78=0),0,PI()*F78*E78)</f>
        <v>0</v>
      </c>
      <c r="AZ78" s="89">
        <f t="shared" ref="AZ78:AZ109" si="83">IFERROR(
IF(OR(E78=0,F78=0),0,
   IF($R78="LASER",
      IF($F78&lt;=$G78*1.5,$AX78*0.7,$AX78),
   IF($R78="PLASMA",
      IF($F78&lt;=$G78*2,$AX78*0.5,$AX78),
   0))),
0)</f>
        <v>0</v>
      </c>
      <c r="BA78" s="116">
        <f t="shared" ref="BA78:BA109" si="84">IFERROR(IF($AY78=0,0,$AY78/$AZ78),0)</f>
        <v>0</v>
      </c>
      <c r="BB78" s="116">
        <f t="shared" ref="BB78:BB109" si="85">IF(OR(E78=0,F78=0),0,
 IF(F78&lt;=4.75,5/60,
 IF(F78&lt;=9.5,7/60,
 10/60)))</f>
        <v>0</v>
      </c>
      <c r="BC78" s="116">
        <f t="shared" ref="BC78:BC109" si="86">IF(OR(E78=0,F78=0),0,$BA78+($BB78*$E78))</f>
        <v>0</v>
      </c>
      <c r="BD78" s="116">
        <f t="shared" si="34"/>
        <v>0</v>
      </c>
      <c r="BE78" s="89">
        <f t="shared" si="30"/>
        <v>0</v>
      </c>
      <c r="BF78" s="90">
        <f t="shared" si="31"/>
        <v>0.01</v>
      </c>
      <c r="BG78" s="90">
        <f t="shared" si="32"/>
        <v>3.3333333333333333E-2</v>
      </c>
      <c r="BH78" s="116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3">
        <v>1200</v>
      </c>
      <c r="L79" s="121" t="str">
        <f t="shared" ref="L79:L142" si="87">IFERROR((AS79*G79*7.85)/1000000,"0")</f>
        <v>0</v>
      </c>
      <c r="M79" s="122">
        <f t="shared" ref="M79:M142" si="88">IFERROR(L79*C79,"0")</f>
        <v>0</v>
      </c>
      <c r="N79" s="90">
        <f t="shared" si="61"/>
        <v>0</v>
      </c>
      <c r="O79" s="123">
        <f>IF(L79="",0,IFERROR(IF($M$2="ESTUDO",BH79,N79)+INDEX(AUXILIAR!$AO$3:$AO$8,MATCH(L79,{0;2;5;10;20;50},1))*1440,IF(M79="ESTUDO",BH79,N79)))</f>
        <v>0</v>
      </c>
      <c r="P79" s="94">
        <f t="shared" si="62"/>
        <v>0</v>
      </c>
      <c r="Q79" s="94">
        <f t="shared" si="63"/>
        <v>0</v>
      </c>
      <c r="R79" s="91" t="s">
        <v>0</v>
      </c>
      <c r="S79" s="88">
        <f t="shared" si="64"/>
        <v>0</v>
      </c>
      <c r="T79" s="94">
        <f>((AM79/(1+AUXILIAR!$BJ$4))-((AM79/(1+AUXILIAR!$BJ$4))*AUXILIAR!$BK$4))-(((AM79/(1+AUXILIAR!$BJ$4))-((AM79/(1+AUXILIAR!$BJ$4))*AUXILIAR!$BK$4))*((AUXILIAR!$BL$4+AUXILIAR!$BM$4)))</f>
        <v>0</v>
      </c>
      <c r="U79" s="94">
        <f>((S79/(1+AUXILIAR!$BJ$7))-((S79/(1+AUXILIAR!$BJ$7))*AUXILIAR!$BK$7))-(((S79/(1+AUXILIAR!$BJ$7))-((S79/(1+AUXILIAR!$BJ$7))*AUXILIAR!$BK$7))*((AUXILIAR!$BL$7+AUXILIAR!$BM$7)))</f>
        <v>0</v>
      </c>
      <c r="V79" s="96">
        <f>AM79-(AM79/(1+AUXILIAR!$BJ$4))</f>
        <v>0</v>
      </c>
      <c r="W79" s="96">
        <f>(AM79-V79)*AUXILIAR!$BK$4</f>
        <v>0</v>
      </c>
      <c r="X79" s="96">
        <f>(AM79-V79-W79)*(AUXILIAR!$BL$4+AUXILIAR!$BM$4)</f>
        <v>0</v>
      </c>
      <c r="Y79" s="96">
        <f>X79-(X79/(1+AUXILIAR!$BJ$7))</f>
        <v>0</v>
      </c>
      <c r="Z79" s="96">
        <f>(S79-Y79)*AUXILIAR!$BK$7</f>
        <v>0</v>
      </c>
      <c r="AA79" s="96">
        <f>(S79-Y79-Z79)*(AUXILIAR!$BL$7+AUXILIAR!$BM$7)</f>
        <v>0</v>
      </c>
      <c r="AB79" s="97">
        <f t="shared" si="65"/>
        <v>0</v>
      </c>
      <c r="AC79" s="97">
        <f t="shared" si="66"/>
        <v>0</v>
      </c>
      <c r="AD79" s="97">
        <f t="shared" si="67"/>
        <v>0</v>
      </c>
      <c r="AE79" s="97">
        <f t="shared" si="68"/>
        <v>0</v>
      </c>
      <c r="AF79" s="97">
        <f t="shared" si="69"/>
        <v>0</v>
      </c>
      <c r="AG79" s="96">
        <f t="shared" si="70"/>
        <v>-1</v>
      </c>
      <c r="AH79" s="94">
        <f t="shared" si="71"/>
        <v>0</v>
      </c>
      <c r="AI79" s="98">
        <f t="shared" si="72"/>
        <v>0</v>
      </c>
      <c r="AJ79" s="94">
        <f t="shared" si="73"/>
        <v>0</v>
      </c>
      <c r="AK79" s="94">
        <f t="shared" si="74"/>
        <v>0</v>
      </c>
      <c r="AL79" s="94">
        <f>AUXILIAR!$BM$12</f>
        <v>1</v>
      </c>
      <c r="AM79" s="94">
        <f>IF($E$2="XADREZ",
     IFERROR(VLOOKUP(G79,AUXILIAR!AB:AC,2,TRUE),0),
     IF(AC76="SIM", 0, IFERROR(VLOOKUP(G79,AUXILIAR!AB:AC,2,TRUE),0))
)</f>
        <v>0</v>
      </c>
      <c r="AN79" s="124">
        <f t="shared" ref="AN79:AN142" si="89">ABS(AE79)</f>
        <v>0</v>
      </c>
      <c r="AO79" s="94">
        <f t="shared" si="75"/>
        <v>0</v>
      </c>
      <c r="AP79" s="94">
        <f t="shared" si="76"/>
        <v>0</v>
      </c>
      <c r="AQ79" s="124">
        <f>IFERROR(INDEX(AUXILIAR!$AG$3:$AG$28,MATCH(G79,AUXILIAR!$AH$3:$AH$28,1))*AM79,0)</f>
        <v>0</v>
      </c>
      <c r="AR79" s="99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77"/>
        <v/>
      </c>
      <c r="AT79" s="89" t="str">
        <f t="shared" si="78"/>
        <v/>
      </c>
      <c r="AU79" s="89" t="str">
        <f t="shared" si="79"/>
        <v/>
      </c>
      <c r="AV79" s="89" t="str">
        <f t="shared" si="80"/>
        <v/>
      </c>
      <c r="AW79" s="89" t="str">
        <f t="shared" si="81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2"/>
        <v>0</v>
      </c>
      <c r="AZ79" s="89">
        <f t="shared" si="83"/>
        <v>0</v>
      </c>
      <c r="BA79" s="116">
        <f t="shared" si="84"/>
        <v>0</v>
      </c>
      <c r="BB79" s="116">
        <f t="shared" si="85"/>
        <v>0</v>
      </c>
      <c r="BC79" s="116">
        <f t="shared" si="86"/>
        <v>0</v>
      </c>
      <c r="BD79" s="116">
        <f t="shared" si="34"/>
        <v>0</v>
      </c>
      <c r="BE79" s="89">
        <f t="shared" ref="BE79:BE142" si="90">AX79*BD79</f>
        <v>0</v>
      </c>
      <c r="BF79" s="90">
        <f t="shared" ref="BF79:BF142" si="91">(
1+E79
)*
IF(G79&lt;=1.5,0.6/60,
IF(G79&lt;=3,0.9/60,
IF(G79&lt;=6.35,1.5/60,
IF(G79&lt;=9.53,2.2/60,
IF(G79&lt;=12.7,3/60,4/60)))))</f>
        <v>0.01</v>
      </c>
      <c r="BG79" s="90">
        <f t="shared" ref="BG79:BG142" si="92">IF(AV79&lt;=800,0.8/60,IF(AV79&lt;=2000,1.2/60,2/60))</f>
        <v>3.3333333333333333E-2</v>
      </c>
      <c r="BH79" s="116">
        <f t="shared" ref="BH79:BH142" si="93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3">
        <v>1200</v>
      </c>
      <c r="L80" s="121" t="str">
        <f t="shared" si="87"/>
        <v>0</v>
      </c>
      <c r="M80" s="122">
        <f t="shared" si="88"/>
        <v>0</v>
      </c>
      <c r="N80" s="90">
        <f t="shared" si="61"/>
        <v>0</v>
      </c>
      <c r="O80" s="123">
        <f>IF(L80="",0,IFERROR(IF($M$2="ESTUDO",BH80,N80)+INDEX(AUXILIAR!$AO$3:$AO$8,MATCH(L80,{0;2;5;10;20;50},1))*1440,IF(M80="ESTUDO",BH80,N80)))</f>
        <v>0</v>
      </c>
      <c r="P80" s="94">
        <f t="shared" si="62"/>
        <v>0</v>
      </c>
      <c r="Q80" s="94">
        <f t="shared" si="63"/>
        <v>0</v>
      </c>
      <c r="R80" s="91" t="s">
        <v>0</v>
      </c>
      <c r="S80" s="88">
        <f t="shared" si="64"/>
        <v>0</v>
      </c>
      <c r="T80" s="94">
        <f>((AM80/(1+AUXILIAR!$BJ$4))-((AM80/(1+AUXILIAR!$BJ$4))*AUXILIAR!$BK$4))-(((AM80/(1+AUXILIAR!$BJ$4))-((AM80/(1+AUXILIAR!$BJ$4))*AUXILIAR!$BK$4))*((AUXILIAR!$BL$4+AUXILIAR!$BM$4)))</f>
        <v>0</v>
      </c>
      <c r="U80" s="94">
        <f>((S80/(1+AUXILIAR!$BJ$7))-((S80/(1+AUXILIAR!$BJ$7))*AUXILIAR!$BK$7))-(((S80/(1+AUXILIAR!$BJ$7))-((S80/(1+AUXILIAR!$BJ$7))*AUXILIAR!$BK$7))*((AUXILIAR!$BL$7+AUXILIAR!$BM$7)))</f>
        <v>0</v>
      </c>
      <c r="V80" s="96">
        <f>AM80-(AM80/(1+AUXILIAR!$BJ$4))</f>
        <v>0</v>
      </c>
      <c r="W80" s="96">
        <f>(AM80-V80)*AUXILIAR!$BK$4</f>
        <v>0</v>
      </c>
      <c r="X80" s="96">
        <f>(AM80-V80-W80)*(AUXILIAR!$BL$4+AUXILIAR!$BM$4)</f>
        <v>0</v>
      </c>
      <c r="Y80" s="96">
        <f>X80-(X80/(1+AUXILIAR!$BJ$7))</f>
        <v>0</v>
      </c>
      <c r="Z80" s="96">
        <f>(S80-Y80)*AUXILIAR!$BK$7</f>
        <v>0</v>
      </c>
      <c r="AA80" s="96">
        <f>(S80-Y80-Z80)*(AUXILIAR!$BL$7+AUXILIAR!$BM$7)</f>
        <v>0</v>
      </c>
      <c r="AB80" s="97">
        <f t="shared" si="65"/>
        <v>0</v>
      </c>
      <c r="AC80" s="97">
        <f t="shared" si="66"/>
        <v>0</v>
      </c>
      <c r="AD80" s="97">
        <f t="shared" si="67"/>
        <v>0</v>
      </c>
      <c r="AE80" s="97">
        <f t="shared" si="68"/>
        <v>0</v>
      </c>
      <c r="AF80" s="97">
        <f t="shared" si="69"/>
        <v>0</v>
      </c>
      <c r="AG80" s="96">
        <f t="shared" si="70"/>
        <v>-1</v>
      </c>
      <c r="AH80" s="94">
        <f t="shared" si="71"/>
        <v>0</v>
      </c>
      <c r="AI80" s="98">
        <f t="shared" si="72"/>
        <v>0</v>
      </c>
      <c r="AJ80" s="94">
        <f t="shared" si="73"/>
        <v>0</v>
      </c>
      <c r="AK80" s="94">
        <f t="shared" si="74"/>
        <v>0</v>
      </c>
      <c r="AL80" s="94">
        <f>AUXILIAR!$BM$12</f>
        <v>1</v>
      </c>
      <c r="AM80" s="94">
        <f>IF($E$2="XADREZ",
     IFERROR(VLOOKUP(G80,AUXILIAR!AB:AC,2,TRUE),0),
     IF(AC77="SIM", 0, IFERROR(VLOOKUP(G80,AUXILIAR!AB:AC,2,TRUE),0))
)</f>
        <v>0</v>
      </c>
      <c r="AN80" s="124">
        <f t="shared" si="89"/>
        <v>0</v>
      </c>
      <c r="AO80" s="94">
        <f t="shared" si="75"/>
        <v>0</v>
      </c>
      <c r="AP80" s="94">
        <f t="shared" si="76"/>
        <v>0</v>
      </c>
      <c r="AQ80" s="124">
        <f>IFERROR(INDEX(AUXILIAR!$AG$3:$AG$28,MATCH(G80,AUXILIAR!$AH$3:$AH$28,1))*AM80,0)</f>
        <v>0</v>
      </c>
      <c r="AR80" s="99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77"/>
        <v/>
      </c>
      <c r="AT80" s="89" t="str">
        <f t="shared" si="78"/>
        <v/>
      </c>
      <c r="AU80" s="89" t="str">
        <f t="shared" si="79"/>
        <v/>
      </c>
      <c r="AV80" s="89" t="str">
        <f t="shared" si="80"/>
        <v/>
      </c>
      <c r="AW80" s="89" t="str">
        <f t="shared" si="81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2"/>
        <v>0</v>
      </c>
      <c r="AZ80" s="89">
        <f t="shared" si="83"/>
        <v>0</v>
      </c>
      <c r="BA80" s="116">
        <f t="shared" si="84"/>
        <v>0</v>
      </c>
      <c r="BB80" s="116">
        <f t="shared" si="85"/>
        <v>0</v>
      </c>
      <c r="BC80" s="116">
        <f t="shared" si="86"/>
        <v>0</v>
      </c>
      <c r="BD80" s="116">
        <f t="shared" si="34"/>
        <v>0</v>
      </c>
      <c r="BE80" s="89">
        <f t="shared" si="90"/>
        <v>0</v>
      </c>
      <c r="BF80" s="90">
        <f t="shared" si="91"/>
        <v>0.01</v>
      </c>
      <c r="BG80" s="90">
        <f t="shared" si="92"/>
        <v>3.3333333333333333E-2</v>
      </c>
      <c r="BH80" s="116">
        <f t="shared" si="93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3">
        <v>1200</v>
      </c>
      <c r="L81" s="121" t="str">
        <f t="shared" si="87"/>
        <v>0</v>
      </c>
      <c r="M81" s="122">
        <f t="shared" si="88"/>
        <v>0</v>
      </c>
      <c r="N81" s="90">
        <f t="shared" si="61"/>
        <v>0</v>
      </c>
      <c r="O81" s="123">
        <f>IF(L81="",0,IFERROR(IF($M$2="ESTUDO",BH81,N81)+INDEX(AUXILIAR!$AO$3:$AO$8,MATCH(L81,{0;2;5;10;20;50},1))*1440,IF(M81="ESTUDO",BH81,N81)))</f>
        <v>0</v>
      </c>
      <c r="P81" s="94">
        <f t="shared" si="62"/>
        <v>0</v>
      </c>
      <c r="Q81" s="94">
        <f t="shared" si="63"/>
        <v>0</v>
      </c>
      <c r="R81" s="91" t="s">
        <v>0</v>
      </c>
      <c r="S81" s="88">
        <f t="shared" si="64"/>
        <v>0</v>
      </c>
      <c r="T81" s="94">
        <f>((AM81/(1+AUXILIAR!$BJ$4))-((AM81/(1+AUXILIAR!$BJ$4))*AUXILIAR!$BK$4))-(((AM81/(1+AUXILIAR!$BJ$4))-((AM81/(1+AUXILIAR!$BJ$4))*AUXILIAR!$BK$4))*((AUXILIAR!$BL$4+AUXILIAR!$BM$4)))</f>
        <v>0</v>
      </c>
      <c r="U81" s="94">
        <f>((S81/(1+AUXILIAR!$BJ$7))-((S81/(1+AUXILIAR!$BJ$7))*AUXILIAR!$BK$7))-(((S81/(1+AUXILIAR!$BJ$7))-((S81/(1+AUXILIAR!$BJ$7))*AUXILIAR!$BK$7))*((AUXILIAR!$BL$7+AUXILIAR!$BM$7)))</f>
        <v>0</v>
      </c>
      <c r="V81" s="96">
        <f>AM81-(AM81/(1+AUXILIAR!$BJ$4))</f>
        <v>0</v>
      </c>
      <c r="W81" s="96">
        <f>(AM81-V81)*AUXILIAR!$BK$4</f>
        <v>0</v>
      </c>
      <c r="X81" s="96">
        <f>(AM81-V81-W81)*(AUXILIAR!$BL$4+AUXILIAR!$BM$4)</f>
        <v>0</v>
      </c>
      <c r="Y81" s="96">
        <f>X81-(X81/(1+AUXILIAR!$BJ$7))</f>
        <v>0</v>
      </c>
      <c r="Z81" s="96">
        <f>(S81-Y81)*AUXILIAR!$BK$7</f>
        <v>0</v>
      </c>
      <c r="AA81" s="96">
        <f>(S81-Y81-Z81)*(AUXILIAR!$BL$7+AUXILIAR!$BM$7)</f>
        <v>0</v>
      </c>
      <c r="AB81" s="97">
        <f t="shared" si="65"/>
        <v>0</v>
      </c>
      <c r="AC81" s="97">
        <f t="shared" si="66"/>
        <v>0</v>
      </c>
      <c r="AD81" s="97">
        <f t="shared" si="67"/>
        <v>0</v>
      </c>
      <c r="AE81" s="97">
        <f t="shared" si="68"/>
        <v>0</v>
      </c>
      <c r="AF81" s="97">
        <f t="shared" si="69"/>
        <v>0</v>
      </c>
      <c r="AG81" s="96">
        <f t="shared" si="70"/>
        <v>-1</v>
      </c>
      <c r="AH81" s="94">
        <f t="shared" si="71"/>
        <v>0</v>
      </c>
      <c r="AI81" s="98">
        <f t="shared" si="72"/>
        <v>0</v>
      </c>
      <c r="AJ81" s="94">
        <f t="shared" si="73"/>
        <v>0</v>
      </c>
      <c r="AK81" s="94">
        <f t="shared" si="74"/>
        <v>0</v>
      </c>
      <c r="AL81" s="94">
        <f>AUXILIAR!$BM$12</f>
        <v>1</v>
      </c>
      <c r="AM81" s="94">
        <f>IF($E$2="XADREZ",
     IFERROR(VLOOKUP(G81,AUXILIAR!AB:AC,2,TRUE),0),
     IF(AC78="SIM", 0, IFERROR(VLOOKUP(G81,AUXILIAR!AB:AC,2,TRUE),0))
)</f>
        <v>0</v>
      </c>
      <c r="AN81" s="124">
        <f t="shared" si="89"/>
        <v>0</v>
      </c>
      <c r="AO81" s="94">
        <f t="shared" si="75"/>
        <v>0</v>
      </c>
      <c r="AP81" s="94">
        <f t="shared" si="76"/>
        <v>0</v>
      </c>
      <c r="AQ81" s="124">
        <f>IFERROR(INDEX(AUXILIAR!$AG$3:$AG$28,MATCH(G81,AUXILIAR!$AH$3:$AH$28,1))*AM81,0)</f>
        <v>0</v>
      </c>
      <c r="AR81" s="99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77"/>
        <v/>
      </c>
      <c r="AT81" s="89" t="str">
        <f t="shared" si="78"/>
        <v/>
      </c>
      <c r="AU81" s="89" t="str">
        <f t="shared" si="79"/>
        <v/>
      </c>
      <c r="AV81" s="89" t="str">
        <f t="shared" si="80"/>
        <v/>
      </c>
      <c r="AW81" s="89" t="str">
        <f t="shared" si="81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2"/>
        <v>0</v>
      </c>
      <c r="AZ81" s="89">
        <f t="shared" si="83"/>
        <v>0</v>
      </c>
      <c r="BA81" s="116">
        <f t="shared" si="84"/>
        <v>0</v>
      </c>
      <c r="BB81" s="116">
        <f t="shared" si="85"/>
        <v>0</v>
      </c>
      <c r="BC81" s="116">
        <f t="shared" si="86"/>
        <v>0</v>
      </c>
      <c r="BD81" s="116">
        <f t="shared" si="34"/>
        <v>0</v>
      </c>
      <c r="BE81" s="89">
        <f t="shared" si="90"/>
        <v>0</v>
      </c>
      <c r="BF81" s="90">
        <f t="shared" si="91"/>
        <v>0.01</v>
      </c>
      <c r="BG81" s="90">
        <f t="shared" si="92"/>
        <v>3.3333333333333333E-2</v>
      </c>
      <c r="BH81" s="116">
        <f t="shared" si="93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3">
        <v>1200</v>
      </c>
      <c r="L82" s="121" t="str">
        <f t="shared" si="87"/>
        <v>0</v>
      </c>
      <c r="M82" s="122">
        <f t="shared" si="88"/>
        <v>0</v>
      </c>
      <c r="N82" s="90">
        <f t="shared" si="61"/>
        <v>0</v>
      </c>
      <c r="O82" s="123">
        <f>IF(L82="",0,IFERROR(IF($M$2="ESTUDO",BH82,N82)+INDEX(AUXILIAR!$AO$3:$AO$8,MATCH(L82,{0;2;5;10;20;50},1))*1440,IF(M82="ESTUDO",BH82,N82)))</f>
        <v>0</v>
      </c>
      <c r="P82" s="94">
        <f t="shared" si="62"/>
        <v>0</v>
      </c>
      <c r="Q82" s="94">
        <f t="shared" si="63"/>
        <v>0</v>
      </c>
      <c r="R82" s="91" t="s">
        <v>0</v>
      </c>
      <c r="S82" s="88">
        <f t="shared" si="64"/>
        <v>0</v>
      </c>
      <c r="T82" s="94">
        <f>((AM82/(1+AUXILIAR!$BJ$4))-((AM82/(1+AUXILIAR!$BJ$4))*AUXILIAR!$BK$4))-(((AM82/(1+AUXILIAR!$BJ$4))-((AM82/(1+AUXILIAR!$BJ$4))*AUXILIAR!$BK$4))*((AUXILIAR!$BL$4+AUXILIAR!$BM$4)))</f>
        <v>0</v>
      </c>
      <c r="U82" s="94">
        <f>((S82/(1+AUXILIAR!$BJ$7))-((S82/(1+AUXILIAR!$BJ$7))*AUXILIAR!$BK$7))-(((S82/(1+AUXILIAR!$BJ$7))-((S82/(1+AUXILIAR!$BJ$7))*AUXILIAR!$BK$7))*((AUXILIAR!$BL$7+AUXILIAR!$BM$7)))</f>
        <v>0</v>
      </c>
      <c r="V82" s="96">
        <f>AM82-(AM82/(1+AUXILIAR!$BJ$4))</f>
        <v>0</v>
      </c>
      <c r="W82" s="96">
        <f>(AM82-V82)*AUXILIAR!$BK$4</f>
        <v>0</v>
      </c>
      <c r="X82" s="96">
        <f>(AM82-V82-W82)*(AUXILIAR!$BL$4+AUXILIAR!$BM$4)</f>
        <v>0</v>
      </c>
      <c r="Y82" s="96">
        <f>X82-(X82/(1+AUXILIAR!$BJ$7))</f>
        <v>0</v>
      </c>
      <c r="Z82" s="96">
        <f>(S82-Y82)*AUXILIAR!$BK$7</f>
        <v>0</v>
      </c>
      <c r="AA82" s="96">
        <f>(S82-Y82-Z82)*(AUXILIAR!$BL$7+AUXILIAR!$BM$7)</f>
        <v>0</v>
      </c>
      <c r="AB82" s="97">
        <f t="shared" si="65"/>
        <v>0</v>
      </c>
      <c r="AC82" s="97">
        <f t="shared" si="66"/>
        <v>0</v>
      </c>
      <c r="AD82" s="97">
        <f t="shared" si="67"/>
        <v>0</v>
      </c>
      <c r="AE82" s="97">
        <f t="shared" si="68"/>
        <v>0</v>
      </c>
      <c r="AF82" s="97">
        <f t="shared" si="69"/>
        <v>0</v>
      </c>
      <c r="AG82" s="96">
        <f t="shared" si="70"/>
        <v>-1</v>
      </c>
      <c r="AH82" s="94">
        <f t="shared" si="71"/>
        <v>0</v>
      </c>
      <c r="AI82" s="98">
        <f t="shared" si="72"/>
        <v>0</v>
      </c>
      <c r="AJ82" s="94">
        <f t="shared" si="73"/>
        <v>0</v>
      </c>
      <c r="AK82" s="94">
        <f t="shared" si="74"/>
        <v>0</v>
      </c>
      <c r="AL82" s="94">
        <f>AUXILIAR!$BM$12</f>
        <v>1</v>
      </c>
      <c r="AM82" s="94">
        <f>IF($E$2="XADREZ",
     IFERROR(VLOOKUP(G82,AUXILIAR!AB:AC,2,TRUE),0),
     IF(AC79="SIM", 0, IFERROR(VLOOKUP(G82,AUXILIAR!AB:AC,2,TRUE),0))
)</f>
        <v>0</v>
      </c>
      <c r="AN82" s="124">
        <f t="shared" si="89"/>
        <v>0</v>
      </c>
      <c r="AO82" s="94">
        <f t="shared" si="75"/>
        <v>0</v>
      </c>
      <c r="AP82" s="94">
        <f t="shared" si="76"/>
        <v>0</v>
      </c>
      <c r="AQ82" s="124">
        <f>IFERROR(INDEX(AUXILIAR!$AG$3:$AG$28,MATCH(G82,AUXILIAR!$AH$3:$AH$28,1))*AM82,0)</f>
        <v>0</v>
      </c>
      <c r="AR82" s="99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77"/>
        <v/>
      </c>
      <c r="AT82" s="89" t="str">
        <f t="shared" si="78"/>
        <v/>
      </c>
      <c r="AU82" s="89" t="str">
        <f t="shared" si="79"/>
        <v/>
      </c>
      <c r="AV82" s="89" t="str">
        <f t="shared" si="80"/>
        <v/>
      </c>
      <c r="AW82" s="89" t="str">
        <f t="shared" si="81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2"/>
        <v>0</v>
      </c>
      <c r="AZ82" s="89">
        <f t="shared" si="83"/>
        <v>0</v>
      </c>
      <c r="BA82" s="116">
        <f t="shared" si="84"/>
        <v>0</v>
      </c>
      <c r="BB82" s="116">
        <f t="shared" si="85"/>
        <v>0</v>
      </c>
      <c r="BC82" s="116">
        <f t="shared" si="86"/>
        <v>0</v>
      </c>
      <c r="BD82" s="116">
        <f t="shared" si="34"/>
        <v>0</v>
      </c>
      <c r="BE82" s="89">
        <f t="shared" si="90"/>
        <v>0</v>
      </c>
      <c r="BF82" s="90">
        <f t="shared" si="91"/>
        <v>0.01</v>
      </c>
      <c r="BG82" s="90">
        <f t="shared" si="92"/>
        <v>3.3333333333333333E-2</v>
      </c>
      <c r="BH82" s="116">
        <f t="shared" si="93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3">
        <v>1200</v>
      </c>
      <c r="L83" s="121" t="str">
        <f t="shared" si="87"/>
        <v>0</v>
      </c>
      <c r="M83" s="122">
        <f t="shared" si="88"/>
        <v>0</v>
      </c>
      <c r="N83" s="90">
        <f t="shared" si="61"/>
        <v>0</v>
      </c>
      <c r="O83" s="123">
        <f>IF(L83="",0,IFERROR(IF($M$2="ESTUDO",BH83,N83)+INDEX(AUXILIAR!$AO$3:$AO$8,MATCH(L83,{0;2;5;10;20;50},1))*1440,IF(M83="ESTUDO",BH83,N83)))</f>
        <v>0</v>
      </c>
      <c r="P83" s="94">
        <f t="shared" si="62"/>
        <v>0</v>
      </c>
      <c r="Q83" s="94">
        <f t="shared" si="63"/>
        <v>0</v>
      </c>
      <c r="R83" s="91" t="s">
        <v>0</v>
      </c>
      <c r="S83" s="88">
        <f t="shared" si="64"/>
        <v>0</v>
      </c>
      <c r="T83" s="94">
        <f>((AM83/(1+AUXILIAR!$BJ$4))-((AM83/(1+AUXILIAR!$BJ$4))*AUXILIAR!$BK$4))-(((AM83/(1+AUXILIAR!$BJ$4))-((AM83/(1+AUXILIAR!$BJ$4))*AUXILIAR!$BK$4))*((AUXILIAR!$BL$4+AUXILIAR!$BM$4)))</f>
        <v>0</v>
      </c>
      <c r="U83" s="94">
        <f>((S83/(1+AUXILIAR!$BJ$7))-((S83/(1+AUXILIAR!$BJ$7))*AUXILIAR!$BK$7))-(((S83/(1+AUXILIAR!$BJ$7))-((S83/(1+AUXILIAR!$BJ$7))*AUXILIAR!$BK$7))*((AUXILIAR!$BL$7+AUXILIAR!$BM$7)))</f>
        <v>0</v>
      </c>
      <c r="V83" s="96">
        <f>AM83-(AM83/(1+AUXILIAR!$BJ$4))</f>
        <v>0</v>
      </c>
      <c r="W83" s="96">
        <f>(AM83-V83)*AUXILIAR!$BK$4</f>
        <v>0</v>
      </c>
      <c r="X83" s="96">
        <f>(AM83-V83-W83)*(AUXILIAR!$BL$4+AUXILIAR!$BM$4)</f>
        <v>0</v>
      </c>
      <c r="Y83" s="96">
        <f>X83-(X83/(1+AUXILIAR!$BJ$7))</f>
        <v>0</v>
      </c>
      <c r="Z83" s="96">
        <f>(S83-Y83)*AUXILIAR!$BK$7</f>
        <v>0</v>
      </c>
      <c r="AA83" s="96">
        <f>(S83-Y83-Z83)*(AUXILIAR!$BL$7+AUXILIAR!$BM$7)</f>
        <v>0</v>
      </c>
      <c r="AB83" s="97">
        <f t="shared" si="65"/>
        <v>0</v>
      </c>
      <c r="AC83" s="97">
        <f t="shared" si="66"/>
        <v>0</v>
      </c>
      <c r="AD83" s="97">
        <f t="shared" si="67"/>
        <v>0</v>
      </c>
      <c r="AE83" s="97">
        <f t="shared" si="68"/>
        <v>0</v>
      </c>
      <c r="AF83" s="97">
        <f t="shared" si="69"/>
        <v>0</v>
      </c>
      <c r="AG83" s="96">
        <f t="shared" si="70"/>
        <v>-1</v>
      </c>
      <c r="AH83" s="94">
        <f t="shared" si="71"/>
        <v>0</v>
      </c>
      <c r="AI83" s="98">
        <f t="shared" si="72"/>
        <v>0</v>
      </c>
      <c r="AJ83" s="94">
        <f t="shared" si="73"/>
        <v>0</v>
      </c>
      <c r="AK83" s="94">
        <f t="shared" si="74"/>
        <v>0</v>
      </c>
      <c r="AL83" s="94">
        <f>AUXILIAR!$BM$12</f>
        <v>1</v>
      </c>
      <c r="AM83" s="94">
        <f>IF($E$2="XADREZ",
     IFERROR(VLOOKUP(G83,AUXILIAR!AB:AC,2,TRUE),0),
     IF(AC80="SIM", 0, IFERROR(VLOOKUP(G83,AUXILIAR!AB:AC,2,TRUE),0))
)</f>
        <v>0</v>
      </c>
      <c r="AN83" s="124">
        <f t="shared" si="89"/>
        <v>0</v>
      </c>
      <c r="AO83" s="94">
        <f t="shared" si="75"/>
        <v>0</v>
      </c>
      <c r="AP83" s="94">
        <f t="shared" si="76"/>
        <v>0</v>
      </c>
      <c r="AQ83" s="124">
        <f>IFERROR(INDEX(AUXILIAR!$AG$3:$AG$28,MATCH(G83,AUXILIAR!$AH$3:$AH$28,1))*AM83,0)</f>
        <v>0</v>
      </c>
      <c r="AR83" s="99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77"/>
        <v/>
      </c>
      <c r="AT83" s="89" t="str">
        <f t="shared" si="78"/>
        <v/>
      </c>
      <c r="AU83" s="89" t="str">
        <f t="shared" si="79"/>
        <v/>
      </c>
      <c r="AV83" s="89" t="str">
        <f t="shared" si="80"/>
        <v/>
      </c>
      <c r="AW83" s="89" t="str">
        <f t="shared" si="81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2"/>
        <v>0</v>
      </c>
      <c r="AZ83" s="89">
        <f t="shared" si="83"/>
        <v>0</v>
      </c>
      <c r="BA83" s="116">
        <f t="shared" si="84"/>
        <v>0</v>
      </c>
      <c r="BB83" s="116">
        <f t="shared" si="85"/>
        <v>0</v>
      </c>
      <c r="BC83" s="116">
        <f t="shared" si="86"/>
        <v>0</v>
      </c>
      <c r="BD83" s="116">
        <f t="shared" si="34"/>
        <v>0</v>
      </c>
      <c r="BE83" s="89">
        <f t="shared" si="90"/>
        <v>0</v>
      </c>
      <c r="BF83" s="90">
        <f t="shared" si="91"/>
        <v>0.01</v>
      </c>
      <c r="BG83" s="90">
        <f t="shared" si="92"/>
        <v>3.3333333333333333E-2</v>
      </c>
      <c r="BH83" s="116">
        <f t="shared" si="93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3">
        <v>1200</v>
      </c>
      <c r="L84" s="121" t="str">
        <f t="shared" si="87"/>
        <v>0</v>
      </c>
      <c r="M84" s="122">
        <f t="shared" si="88"/>
        <v>0</v>
      </c>
      <c r="N84" s="90">
        <f t="shared" si="61"/>
        <v>0</v>
      </c>
      <c r="O84" s="123">
        <f>IF(L84="",0,IFERROR(IF($M$2="ESTUDO",BH84,N84)+INDEX(AUXILIAR!$AO$3:$AO$8,MATCH(L84,{0;2;5;10;20;50},1))*1440,IF(M84="ESTUDO",BH84,N84)))</f>
        <v>0</v>
      </c>
      <c r="P84" s="94">
        <f t="shared" si="62"/>
        <v>0</v>
      </c>
      <c r="Q84" s="94">
        <f t="shared" si="63"/>
        <v>0</v>
      </c>
      <c r="R84" s="91" t="s">
        <v>0</v>
      </c>
      <c r="S84" s="88">
        <f t="shared" si="64"/>
        <v>0</v>
      </c>
      <c r="T84" s="94">
        <f>((AM84/(1+AUXILIAR!$BJ$4))-((AM84/(1+AUXILIAR!$BJ$4))*AUXILIAR!$BK$4))-(((AM84/(1+AUXILIAR!$BJ$4))-((AM84/(1+AUXILIAR!$BJ$4))*AUXILIAR!$BK$4))*((AUXILIAR!$BL$4+AUXILIAR!$BM$4)))</f>
        <v>0</v>
      </c>
      <c r="U84" s="94">
        <f>((S84/(1+AUXILIAR!$BJ$7))-((S84/(1+AUXILIAR!$BJ$7))*AUXILIAR!$BK$7))-(((S84/(1+AUXILIAR!$BJ$7))-((S84/(1+AUXILIAR!$BJ$7))*AUXILIAR!$BK$7))*((AUXILIAR!$BL$7+AUXILIAR!$BM$7)))</f>
        <v>0</v>
      </c>
      <c r="V84" s="96">
        <f>AM84-(AM84/(1+AUXILIAR!$BJ$4))</f>
        <v>0</v>
      </c>
      <c r="W84" s="96">
        <f>(AM84-V84)*AUXILIAR!$BK$4</f>
        <v>0</v>
      </c>
      <c r="X84" s="96">
        <f>(AM84-V84-W84)*(AUXILIAR!$BL$4+AUXILIAR!$BM$4)</f>
        <v>0</v>
      </c>
      <c r="Y84" s="96">
        <f>X84-(X84/(1+AUXILIAR!$BJ$7))</f>
        <v>0</v>
      </c>
      <c r="Z84" s="96">
        <f>(S84-Y84)*AUXILIAR!$BK$7</f>
        <v>0</v>
      </c>
      <c r="AA84" s="96">
        <f>(S84-Y84-Z84)*(AUXILIAR!$BL$7+AUXILIAR!$BM$7)</f>
        <v>0</v>
      </c>
      <c r="AB84" s="97">
        <f t="shared" si="65"/>
        <v>0</v>
      </c>
      <c r="AC84" s="97">
        <f t="shared" si="66"/>
        <v>0</v>
      </c>
      <c r="AD84" s="97">
        <f t="shared" si="67"/>
        <v>0</v>
      </c>
      <c r="AE84" s="97">
        <f t="shared" si="68"/>
        <v>0</v>
      </c>
      <c r="AF84" s="97">
        <f t="shared" si="69"/>
        <v>0</v>
      </c>
      <c r="AG84" s="96">
        <f t="shared" si="70"/>
        <v>-1</v>
      </c>
      <c r="AH84" s="94">
        <f t="shared" si="71"/>
        <v>0</v>
      </c>
      <c r="AI84" s="98">
        <f t="shared" si="72"/>
        <v>0</v>
      </c>
      <c r="AJ84" s="94">
        <f t="shared" si="73"/>
        <v>0</v>
      </c>
      <c r="AK84" s="94">
        <f t="shared" si="74"/>
        <v>0</v>
      </c>
      <c r="AL84" s="94">
        <f>AUXILIAR!$BM$12</f>
        <v>1</v>
      </c>
      <c r="AM84" s="94">
        <f>IF($E$2="XADREZ",
     IFERROR(VLOOKUP(G84,AUXILIAR!AB:AC,2,TRUE),0),
     IF(AC81="SIM", 0, IFERROR(VLOOKUP(G84,AUXILIAR!AB:AC,2,TRUE),0))
)</f>
        <v>0</v>
      </c>
      <c r="AN84" s="124">
        <f t="shared" si="89"/>
        <v>0</v>
      </c>
      <c r="AO84" s="94">
        <f t="shared" si="75"/>
        <v>0</v>
      </c>
      <c r="AP84" s="94">
        <f t="shared" si="76"/>
        <v>0</v>
      </c>
      <c r="AQ84" s="124">
        <f>IFERROR(INDEX(AUXILIAR!$AG$3:$AG$28,MATCH(G84,AUXILIAR!$AH$3:$AH$28,1))*AM84,0)</f>
        <v>0</v>
      </c>
      <c r="AR84" s="99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77"/>
        <v/>
      </c>
      <c r="AT84" s="89" t="str">
        <f t="shared" si="78"/>
        <v/>
      </c>
      <c r="AU84" s="89" t="str">
        <f t="shared" si="79"/>
        <v/>
      </c>
      <c r="AV84" s="89" t="str">
        <f t="shared" si="80"/>
        <v/>
      </c>
      <c r="AW84" s="89" t="str">
        <f t="shared" si="81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2"/>
        <v>0</v>
      </c>
      <c r="AZ84" s="89">
        <f t="shared" si="83"/>
        <v>0</v>
      </c>
      <c r="BA84" s="116">
        <f t="shared" si="84"/>
        <v>0</v>
      </c>
      <c r="BB84" s="116">
        <f t="shared" si="85"/>
        <v>0</v>
      </c>
      <c r="BC84" s="116">
        <f t="shared" si="86"/>
        <v>0</v>
      </c>
      <c r="BD84" s="116">
        <f t="shared" si="34"/>
        <v>0</v>
      </c>
      <c r="BE84" s="89">
        <f t="shared" si="90"/>
        <v>0</v>
      </c>
      <c r="BF84" s="90">
        <f t="shared" si="91"/>
        <v>0.01</v>
      </c>
      <c r="BG84" s="90">
        <f t="shared" si="92"/>
        <v>3.3333333333333333E-2</v>
      </c>
      <c r="BH84" s="116">
        <f t="shared" si="93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3">
        <v>1200</v>
      </c>
      <c r="L85" s="121" t="str">
        <f t="shared" si="87"/>
        <v>0</v>
      </c>
      <c r="M85" s="122">
        <f t="shared" si="88"/>
        <v>0</v>
      </c>
      <c r="N85" s="90">
        <f t="shared" si="61"/>
        <v>0</v>
      </c>
      <c r="O85" s="123">
        <f>IF(L85="",0,IFERROR(IF($M$2="ESTUDO",BH85,N85)+INDEX(AUXILIAR!$AO$3:$AO$8,MATCH(L85,{0;2;5;10;20;50},1))*1440,IF(M85="ESTUDO",BH85,N85)))</f>
        <v>0</v>
      </c>
      <c r="P85" s="94">
        <f t="shared" si="62"/>
        <v>0</v>
      </c>
      <c r="Q85" s="94">
        <f t="shared" si="63"/>
        <v>0</v>
      </c>
      <c r="R85" s="91" t="s">
        <v>0</v>
      </c>
      <c r="S85" s="88">
        <f t="shared" si="64"/>
        <v>0</v>
      </c>
      <c r="T85" s="94">
        <f>((AM85/(1+AUXILIAR!$BJ$4))-((AM85/(1+AUXILIAR!$BJ$4))*AUXILIAR!$BK$4))-(((AM85/(1+AUXILIAR!$BJ$4))-((AM85/(1+AUXILIAR!$BJ$4))*AUXILIAR!$BK$4))*((AUXILIAR!$BL$4+AUXILIAR!$BM$4)))</f>
        <v>0</v>
      </c>
      <c r="U85" s="94">
        <f>((S85/(1+AUXILIAR!$BJ$7))-((S85/(1+AUXILIAR!$BJ$7))*AUXILIAR!$BK$7))-(((S85/(1+AUXILIAR!$BJ$7))-((S85/(1+AUXILIAR!$BJ$7))*AUXILIAR!$BK$7))*((AUXILIAR!$BL$7+AUXILIAR!$BM$7)))</f>
        <v>0</v>
      </c>
      <c r="V85" s="96">
        <f>AM85-(AM85/(1+AUXILIAR!$BJ$4))</f>
        <v>0</v>
      </c>
      <c r="W85" s="96">
        <f>(AM85-V85)*AUXILIAR!$BK$4</f>
        <v>0</v>
      </c>
      <c r="X85" s="96">
        <f>(AM85-V85-W85)*(AUXILIAR!$BL$4+AUXILIAR!$BM$4)</f>
        <v>0</v>
      </c>
      <c r="Y85" s="96">
        <f>X85-(X85/(1+AUXILIAR!$BJ$7))</f>
        <v>0</v>
      </c>
      <c r="Z85" s="96">
        <f>(S85-Y85)*AUXILIAR!$BK$7</f>
        <v>0</v>
      </c>
      <c r="AA85" s="96">
        <f>(S85-Y85-Z85)*(AUXILIAR!$BL$7+AUXILIAR!$BM$7)</f>
        <v>0</v>
      </c>
      <c r="AB85" s="97">
        <f t="shared" si="65"/>
        <v>0</v>
      </c>
      <c r="AC85" s="97">
        <f t="shared" si="66"/>
        <v>0</v>
      </c>
      <c r="AD85" s="97">
        <f t="shared" si="67"/>
        <v>0</v>
      </c>
      <c r="AE85" s="97">
        <f t="shared" si="68"/>
        <v>0</v>
      </c>
      <c r="AF85" s="97">
        <f t="shared" si="69"/>
        <v>0</v>
      </c>
      <c r="AG85" s="96">
        <f t="shared" si="70"/>
        <v>-1</v>
      </c>
      <c r="AH85" s="94">
        <f t="shared" si="71"/>
        <v>0</v>
      </c>
      <c r="AI85" s="98">
        <f t="shared" si="72"/>
        <v>0</v>
      </c>
      <c r="AJ85" s="94">
        <f t="shared" si="73"/>
        <v>0</v>
      </c>
      <c r="AK85" s="94">
        <f t="shared" si="74"/>
        <v>0</v>
      </c>
      <c r="AL85" s="94">
        <f>AUXILIAR!$BM$12</f>
        <v>1</v>
      </c>
      <c r="AM85" s="94">
        <f>IF($E$2="XADREZ",
     IFERROR(VLOOKUP(G85,AUXILIAR!AB:AC,2,TRUE),0),
     IF(AC82="SIM", 0, IFERROR(VLOOKUP(G85,AUXILIAR!AB:AC,2,TRUE),0))
)</f>
        <v>0</v>
      </c>
      <c r="AN85" s="124">
        <f t="shared" si="89"/>
        <v>0</v>
      </c>
      <c r="AO85" s="94">
        <f t="shared" si="75"/>
        <v>0</v>
      </c>
      <c r="AP85" s="94">
        <f t="shared" si="76"/>
        <v>0</v>
      </c>
      <c r="AQ85" s="124">
        <f>IFERROR(INDEX(AUXILIAR!$AG$3:$AG$28,MATCH(G85,AUXILIAR!$AH$3:$AH$28,1))*AM85,0)</f>
        <v>0</v>
      </c>
      <c r="AR85" s="99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77"/>
        <v/>
      </c>
      <c r="AT85" s="89" t="str">
        <f t="shared" si="78"/>
        <v/>
      </c>
      <c r="AU85" s="89" t="str">
        <f t="shared" si="79"/>
        <v/>
      </c>
      <c r="AV85" s="89" t="str">
        <f t="shared" si="80"/>
        <v/>
      </c>
      <c r="AW85" s="89" t="str">
        <f t="shared" si="81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2"/>
        <v>0</v>
      </c>
      <c r="AZ85" s="89">
        <f t="shared" si="83"/>
        <v>0</v>
      </c>
      <c r="BA85" s="116">
        <f t="shared" si="84"/>
        <v>0</v>
      </c>
      <c r="BB85" s="116">
        <f t="shared" si="85"/>
        <v>0</v>
      </c>
      <c r="BC85" s="116">
        <f t="shared" si="86"/>
        <v>0</v>
      </c>
      <c r="BD85" s="116">
        <f t="shared" si="34"/>
        <v>0</v>
      </c>
      <c r="BE85" s="89">
        <f t="shared" si="90"/>
        <v>0</v>
      </c>
      <c r="BF85" s="90">
        <f t="shared" si="91"/>
        <v>0.01</v>
      </c>
      <c r="BG85" s="90">
        <f t="shared" si="92"/>
        <v>3.3333333333333333E-2</v>
      </c>
      <c r="BH85" s="116">
        <f t="shared" si="93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3">
        <v>1200</v>
      </c>
      <c r="L86" s="121" t="str">
        <f t="shared" si="87"/>
        <v>0</v>
      </c>
      <c r="M86" s="122">
        <f t="shared" si="88"/>
        <v>0</v>
      </c>
      <c r="N86" s="90">
        <f t="shared" si="61"/>
        <v>0</v>
      </c>
      <c r="O86" s="123">
        <f>IF(L86="",0,IFERROR(IF($M$2="ESTUDO",BH86,N86)+INDEX(AUXILIAR!$AO$3:$AO$8,MATCH(L86,{0;2;5;10;20;50},1))*1440,IF(M86="ESTUDO",BH86,N86)))</f>
        <v>0</v>
      </c>
      <c r="P86" s="94">
        <f t="shared" si="62"/>
        <v>0</v>
      </c>
      <c r="Q86" s="94">
        <f t="shared" si="63"/>
        <v>0</v>
      </c>
      <c r="R86" s="91" t="s">
        <v>0</v>
      </c>
      <c r="S86" s="88">
        <f t="shared" si="64"/>
        <v>0</v>
      </c>
      <c r="T86" s="94">
        <f>((AM86/(1+AUXILIAR!$BJ$4))-((AM86/(1+AUXILIAR!$BJ$4))*AUXILIAR!$BK$4))-(((AM86/(1+AUXILIAR!$BJ$4))-((AM86/(1+AUXILIAR!$BJ$4))*AUXILIAR!$BK$4))*((AUXILIAR!$BL$4+AUXILIAR!$BM$4)))</f>
        <v>0</v>
      </c>
      <c r="U86" s="94">
        <f>((S86/(1+AUXILIAR!$BJ$7))-((S86/(1+AUXILIAR!$BJ$7))*AUXILIAR!$BK$7))-(((S86/(1+AUXILIAR!$BJ$7))-((S86/(1+AUXILIAR!$BJ$7))*AUXILIAR!$BK$7))*((AUXILIAR!$BL$7+AUXILIAR!$BM$7)))</f>
        <v>0</v>
      </c>
      <c r="V86" s="96">
        <f>AM86-(AM86/(1+AUXILIAR!$BJ$4))</f>
        <v>0</v>
      </c>
      <c r="W86" s="96">
        <f>(AM86-V86)*AUXILIAR!$BK$4</f>
        <v>0</v>
      </c>
      <c r="X86" s="96">
        <f>(AM86-V86-W86)*(AUXILIAR!$BL$4+AUXILIAR!$BM$4)</f>
        <v>0</v>
      </c>
      <c r="Y86" s="96">
        <f>X86-(X86/(1+AUXILIAR!$BJ$7))</f>
        <v>0</v>
      </c>
      <c r="Z86" s="96">
        <f>(S86-Y86)*AUXILIAR!$BK$7</f>
        <v>0</v>
      </c>
      <c r="AA86" s="96">
        <f>(S86-Y86-Z86)*(AUXILIAR!$BL$7+AUXILIAR!$BM$7)</f>
        <v>0</v>
      </c>
      <c r="AB86" s="97">
        <f t="shared" si="65"/>
        <v>0</v>
      </c>
      <c r="AC86" s="97">
        <f t="shared" si="66"/>
        <v>0</v>
      </c>
      <c r="AD86" s="97">
        <f t="shared" si="67"/>
        <v>0</v>
      </c>
      <c r="AE86" s="97">
        <f t="shared" si="68"/>
        <v>0</v>
      </c>
      <c r="AF86" s="97">
        <f t="shared" si="69"/>
        <v>0</v>
      </c>
      <c r="AG86" s="96">
        <f t="shared" si="70"/>
        <v>-1</v>
      </c>
      <c r="AH86" s="94">
        <f t="shared" si="71"/>
        <v>0</v>
      </c>
      <c r="AI86" s="98">
        <f t="shared" si="72"/>
        <v>0</v>
      </c>
      <c r="AJ86" s="94">
        <f t="shared" si="73"/>
        <v>0</v>
      </c>
      <c r="AK86" s="94">
        <f t="shared" si="74"/>
        <v>0</v>
      </c>
      <c r="AL86" s="94">
        <f>AUXILIAR!$BM$12</f>
        <v>1</v>
      </c>
      <c r="AM86" s="94">
        <f>IF($E$2="XADREZ",
     IFERROR(VLOOKUP(G86,AUXILIAR!AB:AC,2,TRUE),0),
     IF(AC83="SIM", 0, IFERROR(VLOOKUP(G86,AUXILIAR!AB:AC,2,TRUE),0))
)</f>
        <v>0</v>
      </c>
      <c r="AN86" s="124">
        <f t="shared" si="89"/>
        <v>0</v>
      </c>
      <c r="AO86" s="94">
        <f t="shared" si="75"/>
        <v>0</v>
      </c>
      <c r="AP86" s="94">
        <f t="shared" si="76"/>
        <v>0</v>
      </c>
      <c r="AQ86" s="124">
        <f>IFERROR(INDEX(AUXILIAR!$AG$3:$AG$28,MATCH(G86,AUXILIAR!$AH$3:$AH$28,1))*AM86,0)</f>
        <v>0</v>
      </c>
      <c r="AR86" s="99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77"/>
        <v/>
      </c>
      <c r="AT86" s="89" t="str">
        <f t="shared" si="78"/>
        <v/>
      </c>
      <c r="AU86" s="89" t="str">
        <f t="shared" si="79"/>
        <v/>
      </c>
      <c r="AV86" s="89" t="str">
        <f t="shared" si="80"/>
        <v/>
      </c>
      <c r="AW86" s="89" t="str">
        <f t="shared" si="81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2"/>
        <v>0</v>
      </c>
      <c r="AZ86" s="89">
        <f t="shared" si="83"/>
        <v>0</v>
      </c>
      <c r="BA86" s="116">
        <f t="shared" si="84"/>
        <v>0</v>
      </c>
      <c r="BB86" s="116">
        <f t="shared" si="85"/>
        <v>0</v>
      </c>
      <c r="BC86" s="116">
        <f t="shared" si="86"/>
        <v>0</v>
      </c>
      <c r="BD86" s="116">
        <f t="shared" si="34"/>
        <v>0</v>
      </c>
      <c r="BE86" s="89">
        <f t="shared" si="90"/>
        <v>0</v>
      </c>
      <c r="BF86" s="90">
        <f t="shared" si="91"/>
        <v>0.01</v>
      </c>
      <c r="BG86" s="90">
        <f t="shared" si="92"/>
        <v>3.3333333333333333E-2</v>
      </c>
      <c r="BH86" s="116">
        <f t="shared" si="93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3">
        <v>1200</v>
      </c>
      <c r="L87" s="121" t="str">
        <f t="shared" si="87"/>
        <v>0</v>
      </c>
      <c r="M87" s="122">
        <f t="shared" si="88"/>
        <v>0</v>
      </c>
      <c r="N87" s="90">
        <f t="shared" si="61"/>
        <v>0</v>
      </c>
      <c r="O87" s="123">
        <f>IF(L87="",0,IFERROR(IF($M$2="ESTUDO",BH87,N87)+INDEX(AUXILIAR!$AO$3:$AO$8,MATCH(L87,{0;2;5;10;20;50},1))*1440,IF(M87="ESTUDO",BH87,N87)))</f>
        <v>0</v>
      </c>
      <c r="P87" s="94">
        <f t="shared" si="62"/>
        <v>0</v>
      </c>
      <c r="Q87" s="94">
        <f t="shared" si="63"/>
        <v>0</v>
      </c>
      <c r="R87" s="91" t="s">
        <v>0</v>
      </c>
      <c r="S87" s="88">
        <f t="shared" si="64"/>
        <v>0</v>
      </c>
      <c r="T87" s="94">
        <f>((AM87/(1+AUXILIAR!$BJ$4))-((AM87/(1+AUXILIAR!$BJ$4))*AUXILIAR!$BK$4))-(((AM87/(1+AUXILIAR!$BJ$4))-((AM87/(1+AUXILIAR!$BJ$4))*AUXILIAR!$BK$4))*((AUXILIAR!$BL$4+AUXILIAR!$BM$4)))</f>
        <v>0</v>
      </c>
      <c r="U87" s="94">
        <f>((S87/(1+AUXILIAR!$BJ$7))-((S87/(1+AUXILIAR!$BJ$7))*AUXILIAR!$BK$7))-(((S87/(1+AUXILIAR!$BJ$7))-((S87/(1+AUXILIAR!$BJ$7))*AUXILIAR!$BK$7))*((AUXILIAR!$BL$7+AUXILIAR!$BM$7)))</f>
        <v>0</v>
      </c>
      <c r="V87" s="96">
        <f>AM87-(AM87/(1+AUXILIAR!$BJ$4))</f>
        <v>0</v>
      </c>
      <c r="W87" s="96">
        <f>(AM87-V87)*AUXILIAR!$BK$4</f>
        <v>0</v>
      </c>
      <c r="X87" s="96">
        <f>(AM87-V87-W87)*(AUXILIAR!$BL$4+AUXILIAR!$BM$4)</f>
        <v>0</v>
      </c>
      <c r="Y87" s="96">
        <f>X87-(X87/(1+AUXILIAR!$BJ$7))</f>
        <v>0</v>
      </c>
      <c r="Z87" s="96">
        <f>(S87-Y87)*AUXILIAR!$BK$7</f>
        <v>0</v>
      </c>
      <c r="AA87" s="96">
        <f>(S87-Y87-Z87)*(AUXILIAR!$BL$7+AUXILIAR!$BM$7)</f>
        <v>0</v>
      </c>
      <c r="AB87" s="97">
        <f t="shared" si="65"/>
        <v>0</v>
      </c>
      <c r="AC87" s="97">
        <f t="shared" si="66"/>
        <v>0</v>
      </c>
      <c r="AD87" s="97">
        <f t="shared" si="67"/>
        <v>0</v>
      </c>
      <c r="AE87" s="97">
        <f t="shared" si="68"/>
        <v>0</v>
      </c>
      <c r="AF87" s="97">
        <f t="shared" si="69"/>
        <v>0</v>
      </c>
      <c r="AG87" s="96">
        <f t="shared" si="70"/>
        <v>-1</v>
      </c>
      <c r="AH87" s="94">
        <f t="shared" si="71"/>
        <v>0</v>
      </c>
      <c r="AI87" s="98">
        <f t="shared" si="72"/>
        <v>0</v>
      </c>
      <c r="AJ87" s="94">
        <f t="shared" si="73"/>
        <v>0</v>
      </c>
      <c r="AK87" s="94">
        <f t="shared" si="74"/>
        <v>0</v>
      </c>
      <c r="AL87" s="94">
        <f>AUXILIAR!$BM$12</f>
        <v>1</v>
      </c>
      <c r="AM87" s="94">
        <f>IF($E$2="XADREZ",
     IFERROR(VLOOKUP(G87,AUXILIAR!AB:AC,2,TRUE),0),
     IF(AC84="SIM", 0, IFERROR(VLOOKUP(G87,AUXILIAR!AB:AC,2,TRUE),0))
)</f>
        <v>0</v>
      </c>
      <c r="AN87" s="124">
        <f t="shared" si="89"/>
        <v>0</v>
      </c>
      <c r="AO87" s="94">
        <f t="shared" si="75"/>
        <v>0</v>
      </c>
      <c r="AP87" s="94">
        <f t="shared" si="76"/>
        <v>0</v>
      </c>
      <c r="AQ87" s="124">
        <f>IFERROR(INDEX(AUXILIAR!$AG$3:$AG$28,MATCH(G87,AUXILIAR!$AH$3:$AH$28,1))*AM87,0)</f>
        <v>0</v>
      </c>
      <c r="AR87" s="99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77"/>
        <v/>
      </c>
      <c r="AT87" s="89" t="str">
        <f t="shared" si="78"/>
        <v/>
      </c>
      <c r="AU87" s="89" t="str">
        <f t="shared" si="79"/>
        <v/>
      </c>
      <c r="AV87" s="89" t="str">
        <f t="shared" si="80"/>
        <v/>
      </c>
      <c r="AW87" s="89" t="str">
        <f t="shared" si="81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2"/>
        <v>0</v>
      </c>
      <c r="AZ87" s="89">
        <f t="shared" si="83"/>
        <v>0</v>
      </c>
      <c r="BA87" s="116">
        <f t="shared" si="84"/>
        <v>0</v>
      </c>
      <c r="BB87" s="116">
        <f t="shared" si="85"/>
        <v>0</v>
      </c>
      <c r="BC87" s="116">
        <f t="shared" si="86"/>
        <v>0</v>
      </c>
      <c r="BD87" s="116">
        <f t="shared" ref="BD87:BD150" si="94">IF(OR(AW87="",ISBLANK(AW87)),0,IF(AV87&lt;=400,0.35,IF(AV87&lt;=800,0.45,IF(AV87&lt;=1500,0.6,IF(AV87&lt;=3000,0.75,0.85)))))</f>
        <v>0</v>
      </c>
      <c r="BE87" s="89">
        <f t="shared" si="90"/>
        <v>0</v>
      </c>
      <c r="BF87" s="90">
        <f t="shared" si="91"/>
        <v>0.01</v>
      </c>
      <c r="BG87" s="90">
        <f t="shared" si="92"/>
        <v>3.3333333333333333E-2</v>
      </c>
      <c r="BH87" s="116">
        <f t="shared" si="93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3">
        <v>1200</v>
      </c>
      <c r="L88" s="121" t="str">
        <f t="shared" si="87"/>
        <v>0</v>
      </c>
      <c r="M88" s="122">
        <f t="shared" si="88"/>
        <v>0</v>
      </c>
      <c r="N88" s="90">
        <f t="shared" si="61"/>
        <v>0</v>
      </c>
      <c r="O88" s="123">
        <f>IF(L88="",0,IFERROR(IF($M$2="ESTUDO",BH88,N88)+INDEX(AUXILIAR!$AO$3:$AO$8,MATCH(L88,{0;2;5;10;20;50},1))*1440,IF(M88="ESTUDO",BH88,N88)))</f>
        <v>0</v>
      </c>
      <c r="P88" s="94">
        <f t="shared" si="62"/>
        <v>0</v>
      </c>
      <c r="Q88" s="94">
        <f t="shared" si="63"/>
        <v>0</v>
      </c>
      <c r="R88" s="91" t="s">
        <v>0</v>
      </c>
      <c r="S88" s="88">
        <f t="shared" si="64"/>
        <v>0</v>
      </c>
      <c r="T88" s="94">
        <f>((AM88/(1+AUXILIAR!$BJ$4))-((AM88/(1+AUXILIAR!$BJ$4))*AUXILIAR!$BK$4))-(((AM88/(1+AUXILIAR!$BJ$4))-((AM88/(1+AUXILIAR!$BJ$4))*AUXILIAR!$BK$4))*((AUXILIAR!$BL$4+AUXILIAR!$BM$4)))</f>
        <v>0</v>
      </c>
      <c r="U88" s="94">
        <f>((S88/(1+AUXILIAR!$BJ$7))-((S88/(1+AUXILIAR!$BJ$7))*AUXILIAR!$BK$7))-(((S88/(1+AUXILIAR!$BJ$7))-((S88/(1+AUXILIAR!$BJ$7))*AUXILIAR!$BK$7))*((AUXILIAR!$BL$7+AUXILIAR!$BM$7)))</f>
        <v>0</v>
      </c>
      <c r="V88" s="96">
        <f>AM88-(AM88/(1+AUXILIAR!$BJ$4))</f>
        <v>0</v>
      </c>
      <c r="W88" s="96">
        <f>(AM88-V88)*AUXILIAR!$BK$4</f>
        <v>0</v>
      </c>
      <c r="X88" s="96">
        <f>(AM88-V88-W88)*(AUXILIAR!$BL$4+AUXILIAR!$BM$4)</f>
        <v>0</v>
      </c>
      <c r="Y88" s="96">
        <f>X88-(X88/(1+AUXILIAR!$BJ$7))</f>
        <v>0</v>
      </c>
      <c r="Z88" s="96">
        <f>(S88-Y88)*AUXILIAR!$BK$7</f>
        <v>0</v>
      </c>
      <c r="AA88" s="96">
        <f>(S88-Y88-Z88)*(AUXILIAR!$BL$7+AUXILIAR!$BM$7)</f>
        <v>0</v>
      </c>
      <c r="AB88" s="97">
        <f t="shared" si="65"/>
        <v>0</v>
      </c>
      <c r="AC88" s="97">
        <f t="shared" si="66"/>
        <v>0</v>
      </c>
      <c r="AD88" s="97">
        <f t="shared" si="67"/>
        <v>0</v>
      </c>
      <c r="AE88" s="97">
        <f t="shared" si="68"/>
        <v>0</v>
      </c>
      <c r="AF88" s="97">
        <f t="shared" si="69"/>
        <v>0</v>
      </c>
      <c r="AG88" s="96">
        <f t="shared" si="70"/>
        <v>-1</v>
      </c>
      <c r="AH88" s="94">
        <f t="shared" si="71"/>
        <v>0</v>
      </c>
      <c r="AI88" s="98">
        <f t="shared" si="72"/>
        <v>0</v>
      </c>
      <c r="AJ88" s="94">
        <f t="shared" si="73"/>
        <v>0</v>
      </c>
      <c r="AK88" s="94">
        <f t="shared" si="74"/>
        <v>0</v>
      </c>
      <c r="AL88" s="94">
        <f>AUXILIAR!$BM$12</f>
        <v>1</v>
      </c>
      <c r="AM88" s="94">
        <f>IF($E$2="XADREZ",
     IFERROR(VLOOKUP(G88,AUXILIAR!AB:AC,2,TRUE),0),
     IF(AC85="SIM", 0, IFERROR(VLOOKUP(G88,AUXILIAR!AB:AC,2,TRUE),0))
)</f>
        <v>0</v>
      </c>
      <c r="AN88" s="124">
        <f t="shared" si="89"/>
        <v>0</v>
      </c>
      <c r="AO88" s="94">
        <f t="shared" si="75"/>
        <v>0</v>
      </c>
      <c r="AP88" s="94">
        <f t="shared" si="76"/>
        <v>0</v>
      </c>
      <c r="AQ88" s="124">
        <f>IFERROR(INDEX(AUXILIAR!$AG$3:$AG$28,MATCH(G88,AUXILIAR!$AH$3:$AH$28,1))*AM88,0)</f>
        <v>0</v>
      </c>
      <c r="AR88" s="99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77"/>
        <v/>
      </c>
      <c r="AT88" s="89" t="str">
        <f t="shared" si="78"/>
        <v/>
      </c>
      <c r="AU88" s="89" t="str">
        <f t="shared" si="79"/>
        <v/>
      </c>
      <c r="AV88" s="89" t="str">
        <f t="shared" si="80"/>
        <v/>
      </c>
      <c r="AW88" s="89" t="str">
        <f t="shared" si="81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2"/>
        <v>0</v>
      </c>
      <c r="AZ88" s="89">
        <f t="shared" si="83"/>
        <v>0</v>
      </c>
      <c r="BA88" s="116">
        <f t="shared" si="84"/>
        <v>0</v>
      </c>
      <c r="BB88" s="116">
        <f t="shared" si="85"/>
        <v>0</v>
      </c>
      <c r="BC88" s="116">
        <f t="shared" si="86"/>
        <v>0</v>
      </c>
      <c r="BD88" s="116">
        <f t="shared" si="94"/>
        <v>0</v>
      </c>
      <c r="BE88" s="89">
        <f t="shared" si="90"/>
        <v>0</v>
      </c>
      <c r="BF88" s="90">
        <f t="shared" si="91"/>
        <v>0.01</v>
      </c>
      <c r="BG88" s="90">
        <f t="shared" si="92"/>
        <v>3.3333333333333333E-2</v>
      </c>
      <c r="BH88" s="116">
        <f t="shared" si="93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3">
        <v>1200</v>
      </c>
      <c r="L89" s="121" t="str">
        <f t="shared" si="87"/>
        <v>0</v>
      </c>
      <c r="M89" s="122">
        <f t="shared" si="88"/>
        <v>0</v>
      </c>
      <c r="N89" s="90">
        <f t="shared" si="61"/>
        <v>0</v>
      </c>
      <c r="O89" s="123">
        <f>IF(L89="",0,IFERROR(IF($M$2="ESTUDO",BH89,N89)+INDEX(AUXILIAR!$AO$3:$AO$8,MATCH(L89,{0;2;5;10;20;50},1))*1440,IF(M89="ESTUDO",BH89,N89)))</f>
        <v>0</v>
      </c>
      <c r="P89" s="94">
        <f t="shared" si="62"/>
        <v>0</v>
      </c>
      <c r="Q89" s="94">
        <f t="shared" si="63"/>
        <v>0</v>
      </c>
      <c r="R89" s="91" t="s">
        <v>0</v>
      </c>
      <c r="S89" s="88">
        <f t="shared" si="64"/>
        <v>0</v>
      </c>
      <c r="T89" s="94">
        <f>((AM89/(1+AUXILIAR!$BJ$4))-((AM89/(1+AUXILIAR!$BJ$4))*AUXILIAR!$BK$4))-(((AM89/(1+AUXILIAR!$BJ$4))-((AM89/(1+AUXILIAR!$BJ$4))*AUXILIAR!$BK$4))*((AUXILIAR!$BL$4+AUXILIAR!$BM$4)))</f>
        <v>0</v>
      </c>
      <c r="U89" s="94">
        <f>((S89/(1+AUXILIAR!$BJ$7))-((S89/(1+AUXILIAR!$BJ$7))*AUXILIAR!$BK$7))-(((S89/(1+AUXILIAR!$BJ$7))-((S89/(1+AUXILIAR!$BJ$7))*AUXILIAR!$BK$7))*((AUXILIAR!$BL$7+AUXILIAR!$BM$7)))</f>
        <v>0</v>
      </c>
      <c r="V89" s="96">
        <f>AM89-(AM89/(1+AUXILIAR!$BJ$4))</f>
        <v>0</v>
      </c>
      <c r="W89" s="96">
        <f>(AM89-V89)*AUXILIAR!$BK$4</f>
        <v>0</v>
      </c>
      <c r="X89" s="96">
        <f>(AM89-V89-W89)*(AUXILIAR!$BL$4+AUXILIAR!$BM$4)</f>
        <v>0</v>
      </c>
      <c r="Y89" s="96">
        <f>X89-(X89/(1+AUXILIAR!$BJ$7))</f>
        <v>0</v>
      </c>
      <c r="Z89" s="96">
        <f>(S89-Y89)*AUXILIAR!$BK$7</f>
        <v>0</v>
      </c>
      <c r="AA89" s="96">
        <f>(S89-Y89-Z89)*(AUXILIAR!$BL$7+AUXILIAR!$BM$7)</f>
        <v>0</v>
      </c>
      <c r="AB89" s="97">
        <f t="shared" si="65"/>
        <v>0</v>
      </c>
      <c r="AC89" s="97">
        <f t="shared" si="66"/>
        <v>0</v>
      </c>
      <c r="AD89" s="97">
        <f t="shared" si="67"/>
        <v>0</v>
      </c>
      <c r="AE89" s="97">
        <f t="shared" si="68"/>
        <v>0</v>
      </c>
      <c r="AF89" s="97">
        <f t="shared" si="69"/>
        <v>0</v>
      </c>
      <c r="AG89" s="96">
        <f t="shared" si="70"/>
        <v>-1</v>
      </c>
      <c r="AH89" s="94">
        <f t="shared" si="71"/>
        <v>0</v>
      </c>
      <c r="AI89" s="98">
        <f t="shared" si="72"/>
        <v>0</v>
      </c>
      <c r="AJ89" s="94">
        <f t="shared" si="73"/>
        <v>0</v>
      </c>
      <c r="AK89" s="94">
        <f t="shared" si="74"/>
        <v>0</v>
      </c>
      <c r="AL89" s="94">
        <f>AUXILIAR!$BM$12</f>
        <v>1</v>
      </c>
      <c r="AM89" s="94">
        <f>IF($E$2="XADREZ",
     IFERROR(VLOOKUP(G89,AUXILIAR!AB:AC,2,TRUE),0),
     IF(AC86="SIM", 0, IFERROR(VLOOKUP(G89,AUXILIAR!AB:AC,2,TRUE),0))
)</f>
        <v>0</v>
      </c>
      <c r="AN89" s="124">
        <f t="shared" si="89"/>
        <v>0</v>
      </c>
      <c r="AO89" s="94">
        <f t="shared" si="75"/>
        <v>0</v>
      </c>
      <c r="AP89" s="94">
        <f t="shared" si="76"/>
        <v>0</v>
      </c>
      <c r="AQ89" s="124">
        <f>IFERROR(INDEX(AUXILIAR!$AG$3:$AG$28,MATCH(G89,AUXILIAR!$AH$3:$AH$28,1))*AM89,0)</f>
        <v>0</v>
      </c>
      <c r="AR89" s="99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77"/>
        <v/>
      </c>
      <c r="AT89" s="89" t="str">
        <f t="shared" si="78"/>
        <v/>
      </c>
      <c r="AU89" s="89" t="str">
        <f t="shared" si="79"/>
        <v/>
      </c>
      <c r="AV89" s="89" t="str">
        <f t="shared" si="80"/>
        <v/>
      </c>
      <c r="AW89" s="89" t="str">
        <f t="shared" si="81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2"/>
        <v>0</v>
      </c>
      <c r="AZ89" s="89">
        <f t="shared" si="83"/>
        <v>0</v>
      </c>
      <c r="BA89" s="116">
        <f t="shared" si="84"/>
        <v>0</v>
      </c>
      <c r="BB89" s="116">
        <f t="shared" si="85"/>
        <v>0</v>
      </c>
      <c r="BC89" s="116">
        <f t="shared" si="86"/>
        <v>0</v>
      </c>
      <c r="BD89" s="116">
        <f t="shared" si="94"/>
        <v>0</v>
      </c>
      <c r="BE89" s="89">
        <f t="shared" si="90"/>
        <v>0</v>
      </c>
      <c r="BF89" s="90">
        <f t="shared" si="91"/>
        <v>0.01</v>
      </c>
      <c r="BG89" s="90">
        <f t="shared" si="92"/>
        <v>3.3333333333333333E-2</v>
      </c>
      <c r="BH89" s="116">
        <f t="shared" si="93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3">
        <v>1200</v>
      </c>
      <c r="L90" s="121" t="str">
        <f t="shared" si="87"/>
        <v>0</v>
      </c>
      <c r="M90" s="122">
        <f t="shared" si="88"/>
        <v>0</v>
      </c>
      <c r="N90" s="90">
        <f t="shared" si="61"/>
        <v>0</v>
      </c>
      <c r="O90" s="123">
        <f>IF(L90="",0,IFERROR(IF($M$2="ESTUDO",BH90,N90)+INDEX(AUXILIAR!$AO$3:$AO$8,MATCH(L90,{0;2;5;10;20;50},1))*1440,IF(M90="ESTUDO",BH90,N90)))</f>
        <v>0</v>
      </c>
      <c r="P90" s="94">
        <f t="shared" si="62"/>
        <v>0</v>
      </c>
      <c r="Q90" s="94">
        <f t="shared" si="63"/>
        <v>0</v>
      </c>
      <c r="R90" s="91" t="s">
        <v>0</v>
      </c>
      <c r="S90" s="88">
        <f t="shared" si="64"/>
        <v>0</v>
      </c>
      <c r="T90" s="94">
        <f>((AM90/(1+AUXILIAR!$BJ$4))-((AM90/(1+AUXILIAR!$BJ$4))*AUXILIAR!$BK$4))-(((AM90/(1+AUXILIAR!$BJ$4))-((AM90/(1+AUXILIAR!$BJ$4))*AUXILIAR!$BK$4))*((AUXILIAR!$BL$4+AUXILIAR!$BM$4)))</f>
        <v>0</v>
      </c>
      <c r="U90" s="94">
        <f>((S90/(1+AUXILIAR!$BJ$7))-((S90/(1+AUXILIAR!$BJ$7))*AUXILIAR!$BK$7))-(((S90/(1+AUXILIAR!$BJ$7))-((S90/(1+AUXILIAR!$BJ$7))*AUXILIAR!$BK$7))*((AUXILIAR!$BL$7+AUXILIAR!$BM$7)))</f>
        <v>0</v>
      </c>
      <c r="V90" s="96">
        <f>AM90-(AM90/(1+AUXILIAR!$BJ$4))</f>
        <v>0</v>
      </c>
      <c r="W90" s="96">
        <f>(AM90-V90)*AUXILIAR!$BK$4</f>
        <v>0</v>
      </c>
      <c r="X90" s="96">
        <f>(AM90-V90-W90)*(AUXILIAR!$BL$4+AUXILIAR!$BM$4)</f>
        <v>0</v>
      </c>
      <c r="Y90" s="96">
        <f>X90-(X90/(1+AUXILIAR!$BJ$7))</f>
        <v>0</v>
      </c>
      <c r="Z90" s="96">
        <f>(S90-Y90)*AUXILIAR!$BK$7</f>
        <v>0</v>
      </c>
      <c r="AA90" s="96">
        <f>(S90-Y90-Z90)*(AUXILIAR!$BL$7+AUXILIAR!$BM$7)</f>
        <v>0</v>
      </c>
      <c r="AB90" s="97">
        <f t="shared" si="65"/>
        <v>0</v>
      </c>
      <c r="AC90" s="97">
        <f t="shared" si="66"/>
        <v>0</v>
      </c>
      <c r="AD90" s="97">
        <f t="shared" si="67"/>
        <v>0</v>
      </c>
      <c r="AE90" s="97">
        <f t="shared" si="68"/>
        <v>0</v>
      </c>
      <c r="AF90" s="97">
        <f t="shared" si="69"/>
        <v>0</v>
      </c>
      <c r="AG90" s="96">
        <f t="shared" si="70"/>
        <v>-1</v>
      </c>
      <c r="AH90" s="94">
        <f t="shared" si="71"/>
        <v>0</v>
      </c>
      <c r="AI90" s="98">
        <f t="shared" si="72"/>
        <v>0</v>
      </c>
      <c r="AJ90" s="94">
        <f t="shared" si="73"/>
        <v>0</v>
      </c>
      <c r="AK90" s="94">
        <f t="shared" si="74"/>
        <v>0</v>
      </c>
      <c r="AL90" s="94">
        <f>AUXILIAR!$BM$12</f>
        <v>1</v>
      </c>
      <c r="AM90" s="94">
        <f>IF($E$2="XADREZ",
     IFERROR(VLOOKUP(G90,AUXILIAR!AB:AC,2,TRUE),0),
     IF(AC87="SIM", 0, IFERROR(VLOOKUP(G90,AUXILIAR!AB:AC,2,TRUE),0))
)</f>
        <v>0</v>
      </c>
      <c r="AN90" s="124">
        <f t="shared" si="89"/>
        <v>0</v>
      </c>
      <c r="AO90" s="94">
        <f t="shared" si="75"/>
        <v>0</v>
      </c>
      <c r="AP90" s="94">
        <f t="shared" si="76"/>
        <v>0</v>
      </c>
      <c r="AQ90" s="124">
        <f>IFERROR(INDEX(AUXILIAR!$AG$3:$AG$28,MATCH(G90,AUXILIAR!$AH$3:$AH$28,1))*AM90,0)</f>
        <v>0</v>
      </c>
      <c r="AR90" s="99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77"/>
        <v/>
      </c>
      <c r="AT90" s="89" t="str">
        <f t="shared" si="78"/>
        <v/>
      </c>
      <c r="AU90" s="89" t="str">
        <f t="shared" si="79"/>
        <v/>
      </c>
      <c r="AV90" s="89" t="str">
        <f t="shared" si="80"/>
        <v/>
      </c>
      <c r="AW90" s="89" t="str">
        <f t="shared" si="81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2"/>
        <v>0</v>
      </c>
      <c r="AZ90" s="89">
        <f t="shared" si="83"/>
        <v>0</v>
      </c>
      <c r="BA90" s="116">
        <f t="shared" si="84"/>
        <v>0</v>
      </c>
      <c r="BB90" s="116">
        <f t="shared" si="85"/>
        <v>0</v>
      </c>
      <c r="BC90" s="116">
        <f t="shared" si="86"/>
        <v>0</v>
      </c>
      <c r="BD90" s="116">
        <f t="shared" si="94"/>
        <v>0</v>
      </c>
      <c r="BE90" s="89">
        <f t="shared" si="90"/>
        <v>0</v>
      </c>
      <c r="BF90" s="90">
        <f t="shared" si="91"/>
        <v>0.01</v>
      </c>
      <c r="BG90" s="90">
        <f t="shared" si="92"/>
        <v>3.3333333333333333E-2</v>
      </c>
      <c r="BH90" s="116">
        <f t="shared" si="93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3">
        <v>1200</v>
      </c>
      <c r="L91" s="121" t="str">
        <f t="shared" si="87"/>
        <v>0</v>
      </c>
      <c r="M91" s="122">
        <f t="shared" si="88"/>
        <v>0</v>
      </c>
      <c r="N91" s="90">
        <f t="shared" si="61"/>
        <v>0</v>
      </c>
      <c r="O91" s="123">
        <f>IF(L91="",0,IFERROR(IF($M$2="ESTUDO",BH91,N91)+INDEX(AUXILIAR!$AO$3:$AO$8,MATCH(L91,{0;2;5;10;20;50},1))*1440,IF(M91="ESTUDO",BH91,N91)))</f>
        <v>0</v>
      </c>
      <c r="P91" s="94">
        <f t="shared" si="62"/>
        <v>0</v>
      </c>
      <c r="Q91" s="94">
        <f t="shared" si="63"/>
        <v>0</v>
      </c>
      <c r="R91" s="91" t="s">
        <v>0</v>
      </c>
      <c r="S91" s="88">
        <f t="shared" si="64"/>
        <v>0</v>
      </c>
      <c r="T91" s="94">
        <f>((AM91/(1+AUXILIAR!$BJ$4))-((AM91/(1+AUXILIAR!$BJ$4))*AUXILIAR!$BK$4))-(((AM91/(1+AUXILIAR!$BJ$4))-((AM91/(1+AUXILIAR!$BJ$4))*AUXILIAR!$BK$4))*((AUXILIAR!$BL$4+AUXILIAR!$BM$4)))</f>
        <v>0</v>
      </c>
      <c r="U91" s="94">
        <f>((S91/(1+AUXILIAR!$BJ$7))-((S91/(1+AUXILIAR!$BJ$7))*AUXILIAR!$BK$7))-(((S91/(1+AUXILIAR!$BJ$7))-((S91/(1+AUXILIAR!$BJ$7))*AUXILIAR!$BK$7))*((AUXILIAR!$BL$7+AUXILIAR!$BM$7)))</f>
        <v>0</v>
      </c>
      <c r="V91" s="96">
        <f>AM91-(AM91/(1+AUXILIAR!$BJ$4))</f>
        <v>0</v>
      </c>
      <c r="W91" s="96">
        <f>(AM91-V91)*AUXILIAR!$BK$4</f>
        <v>0</v>
      </c>
      <c r="X91" s="96">
        <f>(AM91-V91-W91)*(AUXILIAR!$BL$4+AUXILIAR!$BM$4)</f>
        <v>0</v>
      </c>
      <c r="Y91" s="96">
        <f>X91-(X91/(1+AUXILIAR!$BJ$7))</f>
        <v>0</v>
      </c>
      <c r="Z91" s="96">
        <f>(S91-Y91)*AUXILIAR!$BK$7</f>
        <v>0</v>
      </c>
      <c r="AA91" s="96">
        <f>(S91-Y91-Z91)*(AUXILIAR!$BL$7+AUXILIAR!$BM$7)</f>
        <v>0</v>
      </c>
      <c r="AB91" s="97">
        <f t="shared" si="65"/>
        <v>0</v>
      </c>
      <c r="AC91" s="97">
        <f t="shared" si="66"/>
        <v>0</v>
      </c>
      <c r="AD91" s="97">
        <f t="shared" si="67"/>
        <v>0</v>
      </c>
      <c r="AE91" s="97">
        <f t="shared" si="68"/>
        <v>0</v>
      </c>
      <c r="AF91" s="97">
        <f t="shared" si="69"/>
        <v>0</v>
      </c>
      <c r="AG91" s="96">
        <f t="shared" si="70"/>
        <v>-1</v>
      </c>
      <c r="AH91" s="94">
        <f t="shared" si="71"/>
        <v>0</v>
      </c>
      <c r="AI91" s="98">
        <f t="shared" si="72"/>
        <v>0</v>
      </c>
      <c r="AJ91" s="94">
        <f t="shared" si="73"/>
        <v>0</v>
      </c>
      <c r="AK91" s="94">
        <f t="shared" si="74"/>
        <v>0</v>
      </c>
      <c r="AL91" s="94">
        <f>AUXILIAR!$BM$12</f>
        <v>1</v>
      </c>
      <c r="AM91" s="94">
        <f>IF($E$2="XADREZ",
     IFERROR(VLOOKUP(G91,AUXILIAR!AB:AC,2,TRUE),0),
     IF(AC88="SIM", 0, IFERROR(VLOOKUP(G91,AUXILIAR!AB:AC,2,TRUE),0))
)</f>
        <v>0</v>
      </c>
      <c r="AN91" s="124">
        <f t="shared" si="89"/>
        <v>0</v>
      </c>
      <c r="AO91" s="94">
        <f t="shared" si="75"/>
        <v>0</v>
      </c>
      <c r="AP91" s="94">
        <f t="shared" si="76"/>
        <v>0</v>
      </c>
      <c r="AQ91" s="124">
        <f>IFERROR(INDEX(AUXILIAR!$AG$3:$AG$28,MATCH(G91,AUXILIAR!$AH$3:$AH$28,1))*AM91,0)</f>
        <v>0</v>
      </c>
      <c r="AR91" s="99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77"/>
        <v/>
      </c>
      <c r="AT91" s="89" t="str">
        <f t="shared" si="78"/>
        <v/>
      </c>
      <c r="AU91" s="89" t="str">
        <f t="shared" si="79"/>
        <v/>
      </c>
      <c r="AV91" s="89" t="str">
        <f t="shared" si="80"/>
        <v/>
      </c>
      <c r="AW91" s="89" t="str">
        <f t="shared" si="81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2"/>
        <v>0</v>
      </c>
      <c r="AZ91" s="89">
        <f t="shared" si="83"/>
        <v>0</v>
      </c>
      <c r="BA91" s="116">
        <f t="shared" si="84"/>
        <v>0</v>
      </c>
      <c r="BB91" s="116">
        <f t="shared" si="85"/>
        <v>0</v>
      </c>
      <c r="BC91" s="116">
        <f t="shared" si="86"/>
        <v>0</v>
      </c>
      <c r="BD91" s="116">
        <f t="shared" si="94"/>
        <v>0</v>
      </c>
      <c r="BE91" s="89">
        <f t="shared" si="90"/>
        <v>0</v>
      </c>
      <c r="BF91" s="90">
        <f t="shared" si="91"/>
        <v>0.01</v>
      </c>
      <c r="BG91" s="90">
        <f t="shared" si="92"/>
        <v>3.3333333333333333E-2</v>
      </c>
      <c r="BH91" s="116">
        <f t="shared" si="93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3">
        <v>1200</v>
      </c>
      <c r="L92" s="121" t="str">
        <f t="shared" si="87"/>
        <v>0</v>
      </c>
      <c r="M92" s="122">
        <f t="shared" si="88"/>
        <v>0</v>
      </c>
      <c r="N92" s="90">
        <f t="shared" si="61"/>
        <v>0</v>
      </c>
      <c r="O92" s="123">
        <f>IF(L92="",0,IFERROR(IF($M$2="ESTUDO",BH92,N92)+INDEX(AUXILIAR!$AO$3:$AO$8,MATCH(L92,{0;2;5;10;20;50},1))*1440,IF(M92="ESTUDO",BH92,N92)))</f>
        <v>0</v>
      </c>
      <c r="P92" s="94">
        <f t="shared" si="62"/>
        <v>0</v>
      </c>
      <c r="Q92" s="94">
        <f t="shared" si="63"/>
        <v>0</v>
      </c>
      <c r="R92" s="91" t="s">
        <v>0</v>
      </c>
      <c r="S92" s="88">
        <f t="shared" si="64"/>
        <v>0</v>
      </c>
      <c r="T92" s="94">
        <f>((AM92/(1+AUXILIAR!$BJ$4))-((AM92/(1+AUXILIAR!$BJ$4))*AUXILIAR!$BK$4))-(((AM92/(1+AUXILIAR!$BJ$4))-((AM92/(1+AUXILIAR!$BJ$4))*AUXILIAR!$BK$4))*((AUXILIAR!$BL$4+AUXILIAR!$BM$4)))</f>
        <v>0</v>
      </c>
      <c r="U92" s="94">
        <f>((S92/(1+AUXILIAR!$BJ$7))-((S92/(1+AUXILIAR!$BJ$7))*AUXILIAR!$BK$7))-(((S92/(1+AUXILIAR!$BJ$7))-((S92/(1+AUXILIAR!$BJ$7))*AUXILIAR!$BK$7))*((AUXILIAR!$BL$7+AUXILIAR!$BM$7)))</f>
        <v>0</v>
      </c>
      <c r="V92" s="96">
        <f>AM92-(AM92/(1+AUXILIAR!$BJ$4))</f>
        <v>0</v>
      </c>
      <c r="W92" s="96">
        <f>(AM92-V92)*AUXILIAR!$BK$4</f>
        <v>0</v>
      </c>
      <c r="X92" s="96">
        <f>(AM92-V92-W92)*(AUXILIAR!$BL$4+AUXILIAR!$BM$4)</f>
        <v>0</v>
      </c>
      <c r="Y92" s="96">
        <f>X92-(X92/(1+AUXILIAR!$BJ$7))</f>
        <v>0</v>
      </c>
      <c r="Z92" s="96">
        <f>(S92-Y92)*AUXILIAR!$BK$7</f>
        <v>0</v>
      </c>
      <c r="AA92" s="96">
        <f>(S92-Y92-Z92)*(AUXILIAR!$BL$7+AUXILIAR!$BM$7)</f>
        <v>0</v>
      </c>
      <c r="AB92" s="97">
        <f t="shared" si="65"/>
        <v>0</v>
      </c>
      <c r="AC92" s="97">
        <f t="shared" si="66"/>
        <v>0</v>
      </c>
      <c r="AD92" s="97">
        <f t="shared" si="67"/>
        <v>0</v>
      </c>
      <c r="AE92" s="97">
        <f t="shared" si="68"/>
        <v>0</v>
      </c>
      <c r="AF92" s="97">
        <f t="shared" si="69"/>
        <v>0</v>
      </c>
      <c r="AG92" s="96">
        <f t="shared" si="70"/>
        <v>-1</v>
      </c>
      <c r="AH92" s="94">
        <f t="shared" si="71"/>
        <v>0</v>
      </c>
      <c r="AI92" s="98">
        <f t="shared" si="72"/>
        <v>0</v>
      </c>
      <c r="AJ92" s="94">
        <f t="shared" si="73"/>
        <v>0</v>
      </c>
      <c r="AK92" s="94">
        <f t="shared" si="74"/>
        <v>0</v>
      </c>
      <c r="AL92" s="94">
        <f>AUXILIAR!$BM$12</f>
        <v>1</v>
      </c>
      <c r="AM92" s="94">
        <f>IF($E$2="XADREZ",
     IFERROR(VLOOKUP(G92,AUXILIAR!AB:AC,2,TRUE),0),
     IF(AC89="SIM", 0, IFERROR(VLOOKUP(G92,AUXILIAR!AB:AC,2,TRUE),0))
)</f>
        <v>0</v>
      </c>
      <c r="AN92" s="124">
        <f t="shared" si="89"/>
        <v>0</v>
      </c>
      <c r="AO92" s="94">
        <f t="shared" si="75"/>
        <v>0</v>
      </c>
      <c r="AP92" s="94">
        <f t="shared" si="76"/>
        <v>0</v>
      </c>
      <c r="AQ92" s="124">
        <f>IFERROR(INDEX(AUXILIAR!$AG$3:$AG$28,MATCH(G92,AUXILIAR!$AH$3:$AH$28,1))*AM92,0)</f>
        <v>0</v>
      </c>
      <c r="AR92" s="99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77"/>
        <v/>
      </c>
      <c r="AT92" s="89" t="str">
        <f t="shared" si="78"/>
        <v/>
      </c>
      <c r="AU92" s="89" t="str">
        <f t="shared" si="79"/>
        <v/>
      </c>
      <c r="AV92" s="89" t="str">
        <f t="shared" si="80"/>
        <v/>
      </c>
      <c r="AW92" s="89" t="str">
        <f t="shared" si="81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2"/>
        <v>0</v>
      </c>
      <c r="AZ92" s="89">
        <f t="shared" si="83"/>
        <v>0</v>
      </c>
      <c r="BA92" s="116">
        <f t="shared" si="84"/>
        <v>0</v>
      </c>
      <c r="BB92" s="116">
        <f t="shared" si="85"/>
        <v>0</v>
      </c>
      <c r="BC92" s="116">
        <f t="shared" si="86"/>
        <v>0</v>
      </c>
      <c r="BD92" s="116">
        <f t="shared" si="94"/>
        <v>0</v>
      </c>
      <c r="BE92" s="89">
        <f t="shared" si="90"/>
        <v>0</v>
      </c>
      <c r="BF92" s="90">
        <f t="shared" si="91"/>
        <v>0.01</v>
      </c>
      <c r="BG92" s="90">
        <f t="shared" si="92"/>
        <v>3.3333333333333333E-2</v>
      </c>
      <c r="BH92" s="116">
        <f t="shared" si="93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3">
        <v>1200</v>
      </c>
      <c r="L93" s="121" t="str">
        <f t="shared" si="87"/>
        <v>0</v>
      </c>
      <c r="M93" s="122">
        <f t="shared" si="88"/>
        <v>0</v>
      </c>
      <c r="N93" s="90">
        <f t="shared" si="61"/>
        <v>0</v>
      </c>
      <c r="O93" s="123">
        <f>IF(L93="",0,IFERROR(IF($M$2="ESTUDO",BH93,N93)+INDEX(AUXILIAR!$AO$3:$AO$8,MATCH(L93,{0;2;5;10;20;50},1))*1440,IF(M93="ESTUDO",BH93,N93)))</f>
        <v>0</v>
      </c>
      <c r="P93" s="94">
        <f t="shared" si="62"/>
        <v>0</v>
      </c>
      <c r="Q93" s="94">
        <f t="shared" si="63"/>
        <v>0</v>
      </c>
      <c r="R93" s="91" t="s">
        <v>0</v>
      </c>
      <c r="S93" s="88">
        <f t="shared" si="64"/>
        <v>0</v>
      </c>
      <c r="T93" s="94">
        <f>((AM93/(1+AUXILIAR!$BJ$4))-((AM93/(1+AUXILIAR!$BJ$4))*AUXILIAR!$BK$4))-(((AM93/(1+AUXILIAR!$BJ$4))-((AM93/(1+AUXILIAR!$BJ$4))*AUXILIAR!$BK$4))*((AUXILIAR!$BL$4+AUXILIAR!$BM$4)))</f>
        <v>0</v>
      </c>
      <c r="U93" s="94">
        <f>((S93/(1+AUXILIAR!$BJ$7))-((S93/(1+AUXILIAR!$BJ$7))*AUXILIAR!$BK$7))-(((S93/(1+AUXILIAR!$BJ$7))-((S93/(1+AUXILIAR!$BJ$7))*AUXILIAR!$BK$7))*((AUXILIAR!$BL$7+AUXILIAR!$BM$7)))</f>
        <v>0</v>
      </c>
      <c r="V93" s="96">
        <f>AM93-(AM93/(1+AUXILIAR!$BJ$4))</f>
        <v>0</v>
      </c>
      <c r="W93" s="96">
        <f>(AM93-V93)*AUXILIAR!$BK$4</f>
        <v>0</v>
      </c>
      <c r="X93" s="96">
        <f>(AM93-V93-W93)*(AUXILIAR!$BL$4+AUXILIAR!$BM$4)</f>
        <v>0</v>
      </c>
      <c r="Y93" s="96">
        <f>X93-(X93/(1+AUXILIAR!$BJ$7))</f>
        <v>0</v>
      </c>
      <c r="Z93" s="96">
        <f>(S93-Y93)*AUXILIAR!$BK$7</f>
        <v>0</v>
      </c>
      <c r="AA93" s="96">
        <f>(S93-Y93-Z93)*(AUXILIAR!$BL$7+AUXILIAR!$BM$7)</f>
        <v>0</v>
      </c>
      <c r="AB93" s="97">
        <f t="shared" si="65"/>
        <v>0</v>
      </c>
      <c r="AC93" s="97">
        <f t="shared" si="66"/>
        <v>0</v>
      </c>
      <c r="AD93" s="97">
        <f t="shared" si="67"/>
        <v>0</v>
      </c>
      <c r="AE93" s="97">
        <f t="shared" si="68"/>
        <v>0</v>
      </c>
      <c r="AF93" s="97">
        <f t="shared" si="69"/>
        <v>0</v>
      </c>
      <c r="AG93" s="96">
        <f t="shared" si="70"/>
        <v>-1</v>
      </c>
      <c r="AH93" s="94">
        <f t="shared" si="71"/>
        <v>0</v>
      </c>
      <c r="AI93" s="98">
        <f t="shared" si="72"/>
        <v>0</v>
      </c>
      <c r="AJ93" s="94">
        <f t="shared" si="73"/>
        <v>0</v>
      </c>
      <c r="AK93" s="94">
        <f t="shared" si="74"/>
        <v>0</v>
      </c>
      <c r="AL93" s="94">
        <f>AUXILIAR!$BM$12</f>
        <v>1</v>
      </c>
      <c r="AM93" s="94">
        <f>IF($E$2="XADREZ",
     IFERROR(VLOOKUP(G93,AUXILIAR!AB:AC,2,TRUE),0),
     IF(AC90="SIM", 0, IFERROR(VLOOKUP(G93,AUXILIAR!AB:AC,2,TRUE),0))
)</f>
        <v>0</v>
      </c>
      <c r="AN93" s="124">
        <f t="shared" si="89"/>
        <v>0</v>
      </c>
      <c r="AO93" s="94">
        <f t="shared" si="75"/>
        <v>0</v>
      </c>
      <c r="AP93" s="94">
        <f t="shared" si="76"/>
        <v>0</v>
      </c>
      <c r="AQ93" s="124">
        <f>IFERROR(INDEX(AUXILIAR!$AG$3:$AG$28,MATCH(G93,AUXILIAR!$AH$3:$AH$28,1))*AM93,0)</f>
        <v>0</v>
      </c>
      <c r="AR93" s="99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77"/>
        <v/>
      </c>
      <c r="AT93" s="89" t="str">
        <f t="shared" si="78"/>
        <v/>
      </c>
      <c r="AU93" s="89" t="str">
        <f t="shared" si="79"/>
        <v/>
      </c>
      <c r="AV93" s="89" t="str">
        <f t="shared" si="80"/>
        <v/>
      </c>
      <c r="AW93" s="89" t="str">
        <f t="shared" si="81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2"/>
        <v>0</v>
      </c>
      <c r="AZ93" s="89">
        <f t="shared" si="83"/>
        <v>0</v>
      </c>
      <c r="BA93" s="116">
        <f t="shared" si="84"/>
        <v>0</v>
      </c>
      <c r="BB93" s="116">
        <f t="shared" si="85"/>
        <v>0</v>
      </c>
      <c r="BC93" s="116">
        <f t="shared" si="86"/>
        <v>0</v>
      </c>
      <c r="BD93" s="116">
        <f t="shared" si="94"/>
        <v>0</v>
      </c>
      <c r="BE93" s="89">
        <f t="shared" si="90"/>
        <v>0</v>
      </c>
      <c r="BF93" s="90">
        <f t="shared" si="91"/>
        <v>0.01</v>
      </c>
      <c r="BG93" s="90">
        <f t="shared" si="92"/>
        <v>3.3333333333333333E-2</v>
      </c>
      <c r="BH93" s="116">
        <f t="shared" si="93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3">
        <v>1200</v>
      </c>
      <c r="L94" s="121" t="str">
        <f t="shared" si="87"/>
        <v>0</v>
      </c>
      <c r="M94" s="122">
        <f t="shared" si="88"/>
        <v>0</v>
      </c>
      <c r="N94" s="90">
        <f t="shared" si="61"/>
        <v>0</v>
      </c>
      <c r="O94" s="123">
        <f>IF(L94="",0,IFERROR(IF($M$2="ESTUDO",BH94,N94)+INDEX(AUXILIAR!$AO$3:$AO$8,MATCH(L94,{0;2;5;10;20;50},1))*1440,IF(M94="ESTUDO",BH94,N94)))</f>
        <v>0</v>
      </c>
      <c r="P94" s="94">
        <f t="shared" si="62"/>
        <v>0</v>
      </c>
      <c r="Q94" s="94">
        <f t="shared" si="63"/>
        <v>0</v>
      </c>
      <c r="R94" s="91" t="s">
        <v>0</v>
      </c>
      <c r="S94" s="88">
        <f t="shared" si="64"/>
        <v>0</v>
      </c>
      <c r="T94" s="94">
        <f>((AM94/(1+AUXILIAR!$BJ$4))-((AM94/(1+AUXILIAR!$BJ$4))*AUXILIAR!$BK$4))-(((AM94/(1+AUXILIAR!$BJ$4))-((AM94/(1+AUXILIAR!$BJ$4))*AUXILIAR!$BK$4))*((AUXILIAR!$BL$4+AUXILIAR!$BM$4)))</f>
        <v>0</v>
      </c>
      <c r="U94" s="94">
        <f>((S94/(1+AUXILIAR!$BJ$7))-((S94/(1+AUXILIAR!$BJ$7))*AUXILIAR!$BK$7))-(((S94/(1+AUXILIAR!$BJ$7))-((S94/(1+AUXILIAR!$BJ$7))*AUXILIAR!$BK$7))*((AUXILIAR!$BL$7+AUXILIAR!$BM$7)))</f>
        <v>0</v>
      </c>
      <c r="V94" s="96">
        <f>AM94-(AM94/(1+AUXILIAR!$BJ$4))</f>
        <v>0</v>
      </c>
      <c r="W94" s="96">
        <f>(AM94-V94)*AUXILIAR!$BK$4</f>
        <v>0</v>
      </c>
      <c r="X94" s="96">
        <f>(AM94-V94-W94)*(AUXILIAR!$BL$4+AUXILIAR!$BM$4)</f>
        <v>0</v>
      </c>
      <c r="Y94" s="96">
        <f>X94-(X94/(1+AUXILIAR!$BJ$7))</f>
        <v>0</v>
      </c>
      <c r="Z94" s="96">
        <f>(S94-Y94)*AUXILIAR!$BK$7</f>
        <v>0</v>
      </c>
      <c r="AA94" s="96">
        <f>(S94-Y94-Z94)*(AUXILIAR!$BL$7+AUXILIAR!$BM$7)</f>
        <v>0</v>
      </c>
      <c r="AB94" s="97">
        <f t="shared" si="65"/>
        <v>0</v>
      </c>
      <c r="AC94" s="97">
        <f t="shared" si="66"/>
        <v>0</v>
      </c>
      <c r="AD94" s="97">
        <f t="shared" si="67"/>
        <v>0</v>
      </c>
      <c r="AE94" s="97">
        <f t="shared" si="68"/>
        <v>0</v>
      </c>
      <c r="AF94" s="97">
        <f t="shared" si="69"/>
        <v>0</v>
      </c>
      <c r="AG94" s="96">
        <f t="shared" si="70"/>
        <v>-1</v>
      </c>
      <c r="AH94" s="94">
        <f t="shared" si="71"/>
        <v>0</v>
      </c>
      <c r="AI94" s="98">
        <f t="shared" si="72"/>
        <v>0</v>
      </c>
      <c r="AJ94" s="94">
        <f t="shared" si="73"/>
        <v>0</v>
      </c>
      <c r="AK94" s="94">
        <f t="shared" si="74"/>
        <v>0</v>
      </c>
      <c r="AL94" s="94">
        <f>AUXILIAR!$BM$12</f>
        <v>1</v>
      </c>
      <c r="AM94" s="94">
        <f>IF($E$2="XADREZ",
     IFERROR(VLOOKUP(G94,AUXILIAR!AB:AC,2,TRUE),0),
     IF(AC91="SIM", 0, IFERROR(VLOOKUP(G94,AUXILIAR!AB:AC,2,TRUE),0))
)</f>
        <v>0</v>
      </c>
      <c r="AN94" s="124">
        <f t="shared" si="89"/>
        <v>0</v>
      </c>
      <c r="AO94" s="94">
        <f t="shared" si="75"/>
        <v>0</v>
      </c>
      <c r="AP94" s="94">
        <f t="shared" si="76"/>
        <v>0</v>
      </c>
      <c r="AQ94" s="124">
        <f>IFERROR(INDEX(AUXILIAR!$AG$3:$AG$28,MATCH(G94,AUXILIAR!$AH$3:$AH$28,1))*AM94,0)</f>
        <v>0</v>
      </c>
      <c r="AR94" s="99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77"/>
        <v/>
      </c>
      <c r="AT94" s="89" t="str">
        <f t="shared" si="78"/>
        <v/>
      </c>
      <c r="AU94" s="89" t="str">
        <f t="shared" si="79"/>
        <v/>
      </c>
      <c r="AV94" s="89" t="str">
        <f t="shared" si="80"/>
        <v/>
      </c>
      <c r="AW94" s="89" t="str">
        <f t="shared" si="81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2"/>
        <v>0</v>
      </c>
      <c r="AZ94" s="89">
        <f t="shared" si="83"/>
        <v>0</v>
      </c>
      <c r="BA94" s="116">
        <f t="shared" si="84"/>
        <v>0</v>
      </c>
      <c r="BB94" s="116">
        <f t="shared" si="85"/>
        <v>0</v>
      </c>
      <c r="BC94" s="116">
        <f t="shared" si="86"/>
        <v>0</v>
      </c>
      <c r="BD94" s="116">
        <f t="shared" si="94"/>
        <v>0</v>
      </c>
      <c r="BE94" s="89">
        <f t="shared" si="90"/>
        <v>0</v>
      </c>
      <c r="BF94" s="90">
        <f t="shared" si="91"/>
        <v>0.01</v>
      </c>
      <c r="BG94" s="90">
        <f t="shared" si="92"/>
        <v>3.3333333333333333E-2</v>
      </c>
      <c r="BH94" s="116">
        <f t="shared" si="93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3">
        <v>1200</v>
      </c>
      <c r="L95" s="121" t="str">
        <f t="shared" si="87"/>
        <v>0</v>
      </c>
      <c r="M95" s="122">
        <f t="shared" si="88"/>
        <v>0</v>
      </c>
      <c r="N95" s="90">
        <f t="shared" si="61"/>
        <v>0</v>
      </c>
      <c r="O95" s="123">
        <f>IF(L95="",0,IFERROR(IF($M$2="ESTUDO",BH95,N95)+INDEX(AUXILIAR!$AO$3:$AO$8,MATCH(L95,{0;2;5;10;20;50},1))*1440,IF(M95="ESTUDO",BH95,N95)))</f>
        <v>0</v>
      </c>
      <c r="P95" s="94">
        <f t="shared" si="62"/>
        <v>0</v>
      </c>
      <c r="Q95" s="94">
        <f t="shared" si="63"/>
        <v>0</v>
      </c>
      <c r="R95" s="91" t="s">
        <v>0</v>
      </c>
      <c r="S95" s="88">
        <f t="shared" si="64"/>
        <v>0</v>
      </c>
      <c r="T95" s="94">
        <f>((AM95/(1+AUXILIAR!$BJ$4))-((AM95/(1+AUXILIAR!$BJ$4))*AUXILIAR!$BK$4))-(((AM95/(1+AUXILIAR!$BJ$4))-((AM95/(1+AUXILIAR!$BJ$4))*AUXILIAR!$BK$4))*((AUXILIAR!$BL$4+AUXILIAR!$BM$4)))</f>
        <v>0</v>
      </c>
      <c r="U95" s="94">
        <f>((S95/(1+AUXILIAR!$BJ$7))-((S95/(1+AUXILIAR!$BJ$7))*AUXILIAR!$BK$7))-(((S95/(1+AUXILIAR!$BJ$7))-((S95/(1+AUXILIAR!$BJ$7))*AUXILIAR!$BK$7))*((AUXILIAR!$BL$7+AUXILIAR!$BM$7)))</f>
        <v>0</v>
      </c>
      <c r="V95" s="96">
        <f>AM95-(AM95/(1+AUXILIAR!$BJ$4))</f>
        <v>0</v>
      </c>
      <c r="W95" s="96">
        <f>(AM95-V95)*AUXILIAR!$BK$4</f>
        <v>0</v>
      </c>
      <c r="X95" s="96">
        <f>(AM95-V95-W95)*(AUXILIAR!$BL$4+AUXILIAR!$BM$4)</f>
        <v>0</v>
      </c>
      <c r="Y95" s="96">
        <f>X95-(X95/(1+AUXILIAR!$BJ$7))</f>
        <v>0</v>
      </c>
      <c r="Z95" s="96">
        <f>(S95-Y95)*AUXILIAR!$BK$7</f>
        <v>0</v>
      </c>
      <c r="AA95" s="96">
        <f>(S95-Y95-Z95)*(AUXILIAR!$BL$7+AUXILIAR!$BM$7)</f>
        <v>0</v>
      </c>
      <c r="AB95" s="97">
        <f t="shared" si="65"/>
        <v>0</v>
      </c>
      <c r="AC95" s="97">
        <f t="shared" si="66"/>
        <v>0</v>
      </c>
      <c r="AD95" s="97">
        <f t="shared" si="67"/>
        <v>0</v>
      </c>
      <c r="AE95" s="97">
        <f t="shared" si="68"/>
        <v>0</v>
      </c>
      <c r="AF95" s="97">
        <f t="shared" si="69"/>
        <v>0</v>
      </c>
      <c r="AG95" s="96">
        <f t="shared" si="70"/>
        <v>-1</v>
      </c>
      <c r="AH95" s="94">
        <f t="shared" si="71"/>
        <v>0</v>
      </c>
      <c r="AI95" s="98">
        <f t="shared" si="72"/>
        <v>0</v>
      </c>
      <c r="AJ95" s="94">
        <f t="shared" si="73"/>
        <v>0</v>
      </c>
      <c r="AK95" s="94">
        <f t="shared" si="74"/>
        <v>0</v>
      </c>
      <c r="AL95" s="94">
        <f>AUXILIAR!$BM$12</f>
        <v>1</v>
      </c>
      <c r="AM95" s="94">
        <f>IF($E$2="XADREZ",
     IFERROR(VLOOKUP(G95,AUXILIAR!AB:AC,2,TRUE),0),
     IF(AC92="SIM", 0, IFERROR(VLOOKUP(G95,AUXILIAR!AB:AC,2,TRUE),0))
)</f>
        <v>0</v>
      </c>
      <c r="AN95" s="124">
        <f t="shared" si="89"/>
        <v>0</v>
      </c>
      <c r="AO95" s="94">
        <f t="shared" si="75"/>
        <v>0</v>
      </c>
      <c r="AP95" s="94">
        <f t="shared" si="76"/>
        <v>0</v>
      </c>
      <c r="AQ95" s="124">
        <f>IFERROR(INDEX(AUXILIAR!$AG$3:$AG$28,MATCH(G95,AUXILIAR!$AH$3:$AH$28,1))*AM95,0)</f>
        <v>0</v>
      </c>
      <c r="AR95" s="99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77"/>
        <v/>
      </c>
      <c r="AT95" s="89" t="str">
        <f t="shared" si="78"/>
        <v/>
      </c>
      <c r="AU95" s="89" t="str">
        <f t="shared" si="79"/>
        <v/>
      </c>
      <c r="AV95" s="89" t="str">
        <f t="shared" si="80"/>
        <v/>
      </c>
      <c r="AW95" s="89" t="str">
        <f t="shared" si="81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2"/>
        <v>0</v>
      </c>
      <c r="AZ95" s="89">
        <f t="shared" si="83"/>
        <v>0</v>
      </c>
      <c r="BA95" s="116">
        <f t="shared" si="84"/>
        <v>0</v>
      </c>
      <c r="BB95" s="116">
        <f t="shared" si="85"/>
        <v>0</v>
      </c>
      <c r="BC95" s="116">
        <f t="shared" si="86"/>
        <v>0</v>
      </c>
      <c r="BD95" s="116">
        <f t="shared" si="94"/>
        <v>0</v>
      </c>
      <c r="BE95" s="89">
        <f t="shared" si="90"/>
        <v>0</v>
      </c>
      <c r="BF95" s="90">
        <f t="shared" si="91"/>
        <v>0.01</v>
      </c>
      <c r="BG95" s="90">
        <f t="shared" si="92"/>
        <v>3.3333333333333333E-2</v>
      </c>
      <c r="BH95" s="116">
        <f t="shared" si="93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3">
        <v>1200</v>
      </c>
      <c r="L96" s="121" t="str">
        <f t="shared" si="87"/>
        <v>0</v>
      </c>
      <c r="M96" s="122">
        <f t="shared" si="88"/>
        <v>0</v>
      </c>
      <c r="N96" s="90">
        <f t="shared" si="61"/>
        <v>0</v>
      </c>
      <c r="O96" s="123">
        <f>IF(L96="",0,IFERROR(IF($M$2="ESTUDO",BH96,N96)+INDEX(AUXILIAR!$AO$3:$AO$8,MATCH(L96,{0;2;5;10;20;50},1))*1440,IF(M96="ESTUDO",BH96,N96)))</f>
        <v>0</v>
      </c>
      <c r="P96" s="94">
        <f t="shared" si="62"/>
        <v>0</v>
      </c>
      <c r="Q96" s="94">
        <f t="shared" si="63"/>
        <v>0</v>
      </c>
      <c r="R96" s="91" t="s">
        <v>0</v>
      </c>
      <c r="S96" s="88">
        <f t="shared" si="64"/>
        <v>0</v>
      </c>
      <c r="T96" s="94">
        <f>((AM96/(1+AUXILIAR!$BJ$4))-((AM96/(1+AUXILIAR!$BJ$4))*AUXILIAR!$BK$4))-(((AM96/(1+AUXILIAR!$BJ$4))-((AM96/(1+AUXILIAR!$BJ$4))*AUXILIAR!$BK$4))*((AUXILIAR!$BL$4+AUXILIAR!$BM$4)))</f>
        <v>0</v>
      </c>
      <c r="U96" s="94">
        <f>((S96/(1+AUXILIAR!$BJ$7))-((S96/(1+AUXILIAR!$BJ$7))*AUXILIAR!$BK$7))-(((S96/(1+AUXILIAR!$BJ$7))-((S96/(1+AUXILIAR!$BJ$7))*AUXILIAR!$BK$7))*((AUXILIAR!$BL$7+AUXILIAR!$BM$7)))</f>
        <v>0</v>
      </c>
      <c r="V96" s="96">
        <f>AM96-(AM96/(1+AUXILIAR!$BJ$4))</f>
        <v>0</v>
      </c>
      <c r="W96" s="96">
        <f>(AM96-V96)*AUXILIAR!$BK$4</f>
        <v>0</v>
      </c>
      <c r="X96" s="96">
        <f>(AM96-V96-W96)*(AUXILIAR!$BL$4+AUXILIAR!$BM$4)</f>
        <v>0</v>
      </c>
      <c r="Y96" s="96">
        <f>X96-(X96/(1+AUXILIAR!$BJ$7))</f>
        <v>0</v>
      </c>
      <c r="Z96" s="96">
        <f>(S96-Y96)*AUXILIAR!$BK$7</f>
        <v>0</v>
      </c>
      <c r="AA96" s="96">
        <f>(S96-Y96-Z96)*(AUXILIAR!$BL$7+AUXILIAR!$BM$7)</f>
        <v>0</v>
      </c>
      <c r="AB96" s="97">
        <f t="shared" si="65"/>
        <v>0</v>
      </c>
      <c r="AC96" s="97">
        <f t="shared" si="66"/>
        <v>0</v>
      </c>
      <c r="AD96" s="97">
        <f t="shared" si="67"/>
        <v>0</v>
      </c>
      <c r="AE96" s="97">
        <f t="shared" si="68"/>
        <v>0</v>
      </c>
      <c r="AF96" s="97">
        <f t="shared" si="69"/>
        <v>0</v>
      </c>
      <c r="AG96" s="96">
        <f t="shared" si="70"/>
        <v>-1</v>
      </c>
      <c r="AH96" s="94">
        <f t="shared" si="71"/>
        <v>0</v>
      </c>
      <c r="AI96" s="98">
        <f t="shared" si="72"/>
        <v>0</v>
      </c>
      <c r="AJ96" s="94">
        <f t="shared" si="73"/>
        <v>0</v>
      </c>
      <c r="AK96" s="94">
        <f t="shared" si="74"/>
        <v>0</v>
      </c>
      <c r="AL96" s="94">
        <f>AUXILIAR!$BM$12</f>
        <v>1</v>
      </c>
      <c r="AM96" s="94">
        <f>IF($E$2="XADREZ",
     IFERROR(VLOOKUP(G96,AUXILIAR!AB:AC,2,TRUE),0),
     IF(AC93="SIM", 0, IFERROR(VLOOKUP(G96,AUXILIAR!AB:AC,2,TRUE),0))
)</f>
        <v>0</v>
      </c>
      <c r="AN96" s="124">
        <f t="shared" si="89"/>
        <v>0</v>
      </c>
      <c r="AO96" s="94">
        <f t="shared" si="75"/>
        <v>0</v>
      </c>
      <c r="AP96" s="94">
        <f t="shared" si="76"/>
        <v>0</v>
      </c>
      <c r="AQ96" s="124">
        <f>IFERROR(INDEX(AUXILIAR!$AG$3:$AG$28,MATCH(G96,AUXILIAR!$AH$3:$AH$28,1))*AM96,0)</f>
        <v>0</v>
      </c>
      <c r="AR96" s="99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77"/>
        <v/>
      </c>
      <c r="AT96" s="89" t="str">
        <f t="shared" si="78"/>
        <v/>
      </c>
      <c r="AU96" s="89" t="str">
        <f t="shared" si="79"/>
        <v/>
      </c>
      <c r="AV96" s="89" t="str">
        <f t="shared" si="80"/>
        <v/>
      </c>
      <c r="AW96" s="89" t="str">
        <f t="shared" si="81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2"/>
        <v>0</v>
      </c>
      <c r="AZ96" s="89">
        <f t="shared" si="83"/>
        <v>0</v>
      </c>
      <c r="BA96" s="116">
        <f t="shared" si="84"/>
        <v>0</v>
      </c>
      <c r="BB96" s="116">
        <f t="shared" si="85"/>
        <v>0</v>
      </c>
      <c r="BC96" s="116">
        <f t="shared" si="86"/>
        <v>0</v>
      </c>
      <c r="BD96" s="116">
        <f t="shared" si="94"/>
        <v>0</v>
      </c>
      <c r="BE96" s="89">
        <f t="shared" si="90"/>
        <v>0</v>
      </c>
      <c r="BF96" s="90">
        <f t="shared" si="91"/>
        <v>0.01</v>
      </c>
      <c r="BG96" s="90">
        <f t="shared" si="92"/>
        <v>3.3333333333333333E-2</v>
      </c>
      <c r="BH96" s="116">
        <f t="shared" si="93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3">
        <v>1200</v>
      </c>
      <c r="L97" s="121" t="str">
        <f t="shared" si="87"/>
        <v>0</v>
      </c>
      <c r="M97" s="122">
        <f t="shared" si="88"/>
        <v>0</v>
      </c>
      <c r="N97" s="90">
        <f t="shared" si="61"/>
        <v>0</v>
      </c>
      <c r="O97" s="123">
        <f>IF(L97="",0,IFERROR(IF($M$2="ESTUDO",BH97,N97)+INDEX(AUXILIAR!$AO$3:$AO$8,MATCH(L97,{0;2;5;10;20;50},1))*1440,IF(M97="ESTUDO",BH97,N97)))</f>
        <v>0</v>
      </c>
      <c r="P97" s="94">
        <f t="shared" si="62"/>
        <v>0</v>
      </c>
      <c r="Q97" s="94">
        <f t="shared" si="63"/>
        <v>0</v>
      </c>
      <c r="R97" s="91" t="s">
        <v>0</v>
      </c>
      <c r="S97" s="88">
        <f t="shared" si="64"/>
        <v>0</v>
      </c>
      <c r="T97" s="94">
        <f>((AM97/(1+AUXILIAR!$BJ$4))-((AM97/(1+AUXILIAR!$BJ$4))*AUXILIAR!$BK$4))-(((AM97/(1+AUXILIAR!$BJ$4))-((AM97/(1+AUXILIAR!$BJ$4))*AUXILIAR!$BK$4))*((AUXILIAR!$BL$4+AUXILIAR!$BM$4)))</f>
        <v>0</v>
      </c>
      <c r="U97" s="94">
        <f>((S97/(1+AUXILIAR!$BJ$7))-((S97/(1+AUXILIAR!$BJ$7))*AUXILIAR!$BK$7))-(((S97/(1+AUXILIAR!$BJ$7))-((S97/(1+AUXILIAR!$BJ$7))*AUXILIAR!$BK$7))*((AUXILIAR!$BL$7+AUXILIAR!$BM$7)))</f>
        <v>0</v>
      </c>
      <c r="V97" s="96">
        <f>AM97-(AM97/(1+AUXILIAR!$BJ$4))</f>
        <v>0</v>
      </c>
      <c r="W97" s="96">
        <f>(AM97-V97)*AUXILIAR!$BK$4</f>
        <v>0</v>
      </c>
      <c r="X97" s="96">
        <f>(AM97-V97-W97)*(AUXILIAR!$BL$4+AUXILIAR!$BM$4)</f>
        <v>0</v>
      </c>
      <c r="Y97" s="96">
        <f>X97-(X97/(1+AUXILIAR!$BJ$7))</f>
        <v>0</v>
      </c>
      <c r="Z97" s="96">
        <f>(S97-Y97)*AUXILIAR!$BK$7</f>
        <v>0</v>
      </c>
      <c r="AA97" s="96">
        <f>(S97-Y97-Z97)*(AUXILIAR!$BL$7+AUXILIAR!$BM$7)</f>
        <v>0</v>
      </c>
      <c r="AB97" s="97">
        <f t="shared" si="65"/>
        <v>0</v>
      </c>
      <c r="AC97" s="97">
        <f t="shared" si="66"/>
        <v>0</v>
      </c>
      <c r="AD97" s="97">
        <f t="shared" si="67"/>
        <v>0</v>
      </c>
      <c r="AE97" s="97">
        <f t="shared" si="68"/>
        <v>0</v>
      </c>
      <c r="AF97" s="97">
        <f t="shared" si="69"/>
        <v>0</v>
      </c>
      <c r="AG97" s="96">
        <f t="shared" si="70"/>
        <v>-1</v>
      </c>
      <c r="AH97" s="94">
        <f t="shared" si="71"/>
        <v>0</v>
      </c>
      <c r="AI97" s="98">
        <f t="shared" si="72"/>
        <v>0</v>
      </c>
      <c r="AJ97" s="94">
        <f t="shared" si="73"/>
        <v>0</v>
      </c>
      <c r="AK97" s="94">
        <f t="shared" si="74"/>
        <v>0</v>
      </c>
      <c r="AL97" s="94">
        <f>AUXILIAR!$BM$12</f>
        <v>1</v>
      </c>
      <c r="AM97" s="94">
        <f>IF($E$2="XADREZ",
     IFERROR(VLOOKUP(G97,AUXILIAR!AB:AC,2,TRUE),0),
     IF(AC94="SIM", 0, IFERROR(VLOOKUP(G97,AUXILIAR!AB:AC,2,TRUE),0))
)</f>
        <v>0</v>
      </c>
      <c r="AN97" s="124">
        <f t="shared" si="89"/>
        <v>0</v>
      </c>
      <c r="AO97" s="94">
        <f t="shared" si="75"/>
        <v>0</v>
      </c>
      <c r="AP97" s="94">
        <f t="shared" si="76"/>
        <v>0</v>
      </c>
      <c r="AQ97" s="124">
        <f>IFERROR(INDEX(AUXILIAR!$AG$3:$AG$28,MATCH(G97,AUXILIAR!$AH$3:$AH$28,1))*AM97,0)</f>
        <v>0</v>
      </c>
      <c r="AR97" s="99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77"/>
        <v/>
      </c>
      <c r="AT97" s="89" t="str">
        <f t="shared" si="78"/>
        <v/>
      </c>
      <c r="AU97" s="89" t="str">
        <f t="shared" si="79"/>
        <v/>
      </c>
      <c r="AV97" s="89" t="str">
        <f t="shared" si="80"/>
        <v/>
      </c>
      <c r="AW97" s="89" t="str">
        <f t="shared" si="81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2"/>
        <v>0</v>
      </c>
      <c r="AZ97" s="89">
        <f t="shared" si="83"/>
        <v>0</v>
      </c>
      <c r="BA97" s="116">
        <f t="shared" si="84"/>
        <v>0</v>
      </c>
      <c r="BB97" s="116">
        <f t="shared" si="85"/>
        <v>0</v>
      </c>
      <c r="BC97" s="116">
        <f t="shared" si="86"/>
        <v>0</v>
      </c>
      <c r="BD97" s="116">
        <f t="shared" si="94"/>
        <v>0</v>
      </c>
      <c r="BE97" s="89">
        <f t="shared" si="90"/>
        <v>0</v>
      </c>
      <c r="BF97" s="90">
        <f t="shared" si="91"/>
        <v>0.01</v>
      </c>
      <c r="BG97" s="90">
        <f t="shared" si="92"/>
        <v>3.3333333333333333E-2</v>
      </c>
      <c r="BH97" s="116">
        <f t="shared" si="93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3">
        <v>1200</v>
      </c>
      <c r="L98" s="121" t="str">
        <f t="shared" si="87"/>
        <v>0</v>
      </c>
      <c r="M98" s="122">
        <f t="shared" si="88"/>
        <v>0</v>
      </c>
      <c r="N98" s="90">
        <f t="shared" si="61"/>
        <v>0</v>
      </c>
      <c r="O98" s="123">
        <f>IF(L98="",0,IFERROR(IF($M$2="ESTUDO",BH98,N98)+INDEX(AUXILIAR!$AO$3:$AO$8,MATCH(L98,{0;2;5;10;20;50},1))*1440,IF(M98="ESTUDO",BH98,N98)))</f>
        <v>0</v>
      </c>
      <c r="P98" s="94">
        <f t="shared" si="62"/>
        <v>0</v>
      </c>
      <c r="Q98" s="94">
        <f t="shared" si="63"/>
        <v>0</v>
      </c>
      <c r="R98" s="91" t="s">
        <v>0</v>
      </c>
      <c r="S98" s="88">
        <f t="shared" si="64"/>
        <v>0</v>
      </c>
      <c r="T98" s="94">
        <f>((AM98/(1+AUXILIAR!$BJ$4))-((AM98/(1+AUXILIAR!$BJ$4))*AUXILIAR!$BK$4))-(((AM98/(1+AUXILIAR!$BJ$4))-((AM98/(1+AUXILIAR!$BJ$4))*AUXILIAR!$BK$4))*((AUXILIAR!$BL$4+AUXILIAR!$BM$4)))</f>
        <v>0</v>
      </c>
      <c r="U98" s="94">
        <f>((S98/(1+AUXILIAR!$BJ$7))-((S98/(1+AUXILIAR!$BJ$7))*AUXILIAR!$BK$7))-(((S98/(1+AUXILIAR!$BJ$7))-((S98/(1+AUXILIAR!$BJ$7))*AUXILIAR!$BK$7))*((AUXILIAR!$BL$7+AUXILIAR!$BM$7)))</f>
        <v>0</v>
      </c>
      <c r="V98" s="96">
        <f>AM98-(AM98/(1+AUXILIAR!$BJ$4))</f>
        <v>0</v>
      </c>
      <c r="W98" s="96">
        <f>(AM98-V98)*AUXILIAR!$BK$4</f>
        <v>0</v>
      </c>
      <c r="X98" s="96">
        <f>(AM98-V98-W98)*(AUXILIAR!$BL$4+AUXILIAR!$BM$4)</f>
        <v>0</v>
      </c>
      <c r="Y98" s="96">
        <f>X98-(X98/(1+AUXILIAR!$BJ$7))</f>
        <v>0</v>
      </c>
      <c r="Z98" s="96">
        <f>(S98-Y98)*AUXILIAR!$BK$7</f>
        <v>0</v>
      </c>
      <c r="AA98" s="96">
        <f>(S98-Y98-Z98)*(AUXILIAR!$BL$7+AUXILIAR!$BM$7)</f>
        <v>0</v>
      </c>
      <c r="AB98" s="97">
        <f t="shared" si="65"/>
        <v>0</v>
      </c>
      <c r="AC98" s="97">
        <f t="shared" si="66"/>
        <v>0</v>
      </c>
      <c r="AD98" s="97">
        <f t="shared" si="67"/>
        <v>0</v>
      </c>
      <c r="AE98" s="97">
        <f t="shared" si="68"/>
        <v>0</v>
      </c>
      <c r="AF98" s="97">
        <f t="shared" si="69"/>
        <v>0</v>
      </c>
      <c r="AG98" s="96">
        <f t="shared" si="70"/>
        <v>-1</v>
      </c>
      <c r="AH98" s="94">
        <f t="shared" si="71"/>
        <v>0</v>
      </c>
      <c r="AI98" s="98">
        <f t="shared" si="72"/>
        <v>0</v>
      </c>
      <c r="AJ98" s="94">
        <f t="shared" si="73"/>
        <v>0</v>
      </c>
      <c r="AK98" s="94">
        <f t="shared" si="74"/>
        <v>0</v>
      </c>
      <c r="AL98" s="94">
        <f>AUXILIAR!$BM$12</f>
        <v>1</v>
      </c>
      <c r="AM98" s="94">
        <f>IF($E$2="XADREZ",
     IFERROR(VLOOKUP(G98,AUXILIAR!AB:AC,2,TRUE),0),
     IF(AC95="SIM", 0, IFERROR(VLOOKUP(G98,AUXILIAR!AB:AC,2,TRUE),0))
)</f>
        <v>0</v>
      </c>
      <c r="AN98" s="124">
        <f t="shared" si="89"/>
        <v>0</v>
      </c>
      <c r="AO98" s="94">
        <f t="shared" si="75"/>
        <v>0</v>
      </c>
      <c r="AP98" s="94">
        <f t="shared" si="76"/>
        <v>0</v>
      </c>
      <c r="AQ98" s="124">
        <f>IFERROR(INDEX(AUXILIAR!$AG$3:$AG$28,MATCH(G98,AUXILIAR!$AH$3:$AH$28,1))*AM98,0)</f>
        <v>0</v>
      </c>
      <c r="AR98" s="99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77"/>
        <v/>
      </c>
      <c r="AT98" s="89" t="str">
        <f t="shared" si="78"/>
        <v/>
      </c>
      <c r="AU98" s="89" t="str">
        <f t="shared" si="79"/>
        <v/>
      </c>
      <c r="AV98" s="89" t="str">
        <f t="shared" si="80"/>
        <v/>
      </c>
      <c r="AW98" s="89" t="str">
        <f t="shared" si="81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2"/>
        <v>0</v>
      </c>
      <c r="AZ98" s="89">
        <f t="shared" si="83"/>
        <v>0</v>
      </c>
      <c r="BA98" s="116">
        <f t="shared" si="84"/>
        <v>0</v>
      </c>
      <c r="BB98" s="116">
        <f t="shared" si="85"/>
        <v>0</v>
      </c>
      <c r="BC98" s="116">
        <f t="shared" si="86"/>
        <v>0</v>
      </c>
      <c r="BD98" s="116">
        <f t="shared" si="94"/>
        <v>0</v>
      </c>
      <c r="BE98" s="89">
        <f t="shared" si="90"/>
        <v>0</v>
      </c>
      <c r="BF98" s="90">
        <f t="shared" si="91"/>
        <v>0.01</v>
      </c>
      <c r="BG98" s="90">
        <f t="shared" si="92"/>
        <v>3.3333333333333333E-2</v>
      </c>
      <c r="BH98" s="116">
        <f t="shared" si="93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3">
        <v>1200</v>
      </c>
      <c r="L99" s="121" t="str">
        <f t="shared" si="87"/>
        <v>0</v>
      </c>
      <c r="M99" s="122">
        <f t="shared" si="88"/>
        <v>0</v>
      </c>
      <c r="N99" s="90">
        <f t="shared" si="61"/>
        <v>0</v>
      </c>
      <c r="O99" s="123">
        <f>IF(L99="",0,IFERROR(IF($M$2="ESTUDO",BH99,N99)+INDEX(AUXILIAR!$AO$3:$AO$8,MATCH(L99,{0;2;5;10;20;50},1))*1440,IF(M99="ESTUDO",BH99,N99)))</f>
        <v>0</v>
      </c>
      <c r="P99" s="94">
        <f t="shared" si="62"/>
        <v>0</v>
      </c>
      <c r="Q99" s="94">
        <f t="shared" si="63"/>
        <v>0</v>
      </c>
      <c r="R99" s="91" t="s">
        <v>0</v>
      </c>
      <c r="S99" s="88">
        <f t="shared" si="64"/>
        <v>0</v>
      </c>
      <c r="T99" s="94">
        <f>((AM99/(1+AUXILIAR!$BJ$4))-((AM99/(1+AUXILIAR!$BJ$4))*AUXILIAR!$BK$4))-(((AM99/(1+AUXILIAR!$BJ$4))-((AM99/(1+AUXILIAR!$BJ$4))*AUXILIAR!$BK$4))*((AUXILIAR!$BL$4+AUXILIAR!$BM$4)))</f>
        <v>0</v>
      </c>
      <c r="U99" s="94">
        <f>((S99/(1+AUXILIAR!$BJ$7))-((S99/(1+AUXILIAR!$BJ$7))*AUXILIAR!$BK$7))-(((S99/(1+AUXILIAR!$BJ$7))-((S99/(1+AUXILIAR!$BJ$7))*AUXILIAR!$BK$7))*((AUXILIAR!$BL$7+AUXILIAR!$BM$7)))</f>
        <v>0</v>
      </c>
      <c r="V99" s="96">
        <f>AM99-(AM99/(1+AUXILIAR!$BJ$4))</f>
        <v>0</v>
      </c>
      <c r="W99" s="96">
        <f>(AM99-V99)*AUXILIAR!$BK$4</f>
        <v>0</v>
      </c>
      <c r="X99" s="96">
        <f>(AM99-V99-W99)*(AUXILIAR!$BL$4+AUXILIAR!$BM$4)</f>
        <v>0</v>
      </c>
      <c r="Y99" s="96">
        <f>X99-(X99/(1+AUXILIAR!$BJ$7))</f>
        <v>0</v>
      </c>
      <c r="Z99" s="96">
        <f>(S99-Y99)*AUXILIAR!$BK$7</f>
        <v>0</v>
      </c>
      <c r="AA99" s="96">
        <f>(S99-Y99-Z99)*(AUXILIAR!$BL$7+AUXILIAR!$BM$7)</f>
        <v>0</v>
      </c>
      <c r="AB99" s="97">
        <f t="shared" si="65"/>
        <v>0</v>
      </c>
      <c r="AC99" s="97">
        <f t="shared" si="66"/>
        <v>0</v>
      </c>
      <c r="AD99" s="97">
        <f t="shared" si="67"/>
        <v>0</v>
      </c>
      <c r="AE99" s="97">
        <f t="shared" si="68"/>
        <v>0</v>
      </c>
      <c r="AF99" s="97">
        <f t="shared" si="69"/>
        <v>0</v>
      </c>
      <c r="AG99" s="96">
        <f t="shared" si="70"/>
        <v>-1</v>
      </c>
      <c r="AH99" s="94">
        <f t="shared" si="71"/>
        <v>0</v>
      </c>
      <c r="AI99" s="98">
        <f t="shared" si="72"/>
        <v>0</v>
      </c>
      <c r="AJ99" s="94">
        <f t="shared" si="73"/>
        <v>0</v>
      </c>
      <c r="AK99" s="94">
        <f t="shared" si="74"/>
        <v>0</v>
      </c>
      <c r="AL99" s="94">
        <f>AUXILIAR!$BM$12</f>
        <v>1</v>
      </c>
      <c r="AM99" s="94">
        <f>IF($E$2="XADREZ",
     IFERROR(VLOOKUP(G99,AUXILIAR!AB:AC,2,TRUE),0),
     IF(AC96="SIM", 0, IFERROR(VLOOKUP(G99,AUXILIAR!AB:AC,2,TRUE),0))
)</f>
        <v>0</v>
      </c>
      <c r="AN99" s="124">
        <f t="shared" si="89"/>
        <v>0</v>
      </c>
      <c r="AO99" s="94">
        <f t="shared" si="75"/>
        <v>0</v>
      </c>
      <c r="AP99" s="94">
        <f t="shared" si="76"/>
        <v>0</v>
      </c>
      <c r="AQ99" s="124">
        <f>IFERROR(INDEX(AUXILIAR!$AG$3:$AG$28,MATCH(G99,AUXILIAR!$AH$3:$AH$28,1))*AM99,0)</f>
        <v>0</v>
      </c>
      <c r="AR99" s="99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77"/>
        <v/>
      </c>
      <c r="AT99" s="89" t="str">
        <f t="shared" si="78"/>
        <v/>
      </c>
      <c r="AU99" s="89" t="str">
        <f t="shared" si="79"/>
        <v/>
      </c>
      <c r="AV99" s="89" t="str">
        <f t="shared" si="80"/>
        <v/>
      </c>
      <c r="AW99" s="89" t="str">
        <f t="shared" si="81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2"/>
        <v>0</v>
      </c>
      <c r="AZ99" s="89">
        <f t="shared" si="83"/>
        <v>0</v>
      </c>
      <c r="BA99" s="116">
        <f t="shared" si="84"/>
        <v>0</v>
      </c>
      <c r="BB99" s="116">
        <f t="shared" si="85"/>
        <v>0</v>
      </c>
      <c r="BC99" s="116">
        <f t="shared" si="86"/>
        <v>0</v>
      </c>
      <c r="BD99" s="116">
        <f t="shared" si="94"/>
        <v>0</v>
      </c>
      <c r="BE99" s="89">
        <f t="shared" si="90"/>
        <v>0</v>
      </c>
      <c r="BF99" s="90">
        <f t="shared" si="91"/>
        <v>0.01</v>
      </c>
      <c r="BG99" s="90">
        <f t="shared" si="92"/>
        <v>3.3333333333333333E-2</v>
      </c>
      <c r="BH99" s="116">
        <f t="shared" si="93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3">
        <v>1200</v>
      </c>
      <c r="L100" s="121" t="str">
        <f t="shared" si="87"/>
        <v>0</v>
      </c>
      <c r="M100" s="122">
        <f t="shared" si="88"/>
        <v>0</v>
      </c>
      <c r="N100" s="90">
        <f t="shared" si="61"/>
        <v>0</v>
      </c>
      <c r="O100" s="123">
        <f>IF(L100="",0,IFERROR(IF($M$2="ESTUDO",BH100,N100)+INDEX(AUXILIAR!$AO$3:$AO$8,MATCH(L100,{0;2;5;10;20;50},1))*1440,IF(M100="ESTUDO",BH100,N100)))</f>
        <v>0</v>
      </c>
      <c r="P100" s="94">
        <f t="shared" si="62"/>
        <v>0</v>
      </c>
      <c r="Q100" s="94">
        <f t="shared" si="63"/>
        <v>0</v>
      </c>
      <c r="R100" s="91" t="s">
        <v>0</v>
      </c>
      <c r="S100" s="88">
        <f t="shared" si="64"/>
        <v>0</v>
      </c>
      <c r="T100" s="94">
        <f>((AM100/(1+AUXILIAR!$BJ$4))-((AM100/(1+AUXILIAR!$BJ$4))*AUXILIAR!$BK$4))-(((AM100/(1+AUXILIAR!$BJ$4))-((AM100/(1+AUXILIAR!$BJ$4))*AUXILIAR!$BK$4))*((AUXILIAR!$BL$4+AUXILIAR!$BM$4)))</f>
        <v>0</v>
      </c>
      <c r="U100" s="94">
        <f>((S100/(1+AUXILIAR!$BJ$7))-((S100/(1+AUXILIAR!$BJ$7))*AUXILIAR!$BK$7))-(((S100/(1+AUXILIAR!$BJ$7))-((S100/(1+AUXILIAR!$BJ$7))*AUXILIAR!$BK$7))*((AUXILIAR!$BL$7+AUXILIAR!$BM$7)))</f>
        <v>0</v>
      </c>
      <c r="V100" s="96">
        <f>AM100-(AM100/(1+AUXILIAR!$BJ$4))</f>
        <v>0</v>
      </c>
      <c r="W100" s="96">
        <f>(AM100-V100)*AUXILIAR!$BK$4</f>
        <v>0</v>
      </c>
      <c r="X100" s="96">
        <f>(AM100-V100-W100)*(AUXILIAR!$BL$4+AUXILIAR!$BM$4)</f>
        <v>0</v>
      </c>
      <c r="Y100" s="96">
        <f>X100-(X100/(1+AUXILIAR!$BJ$7))</f>
        <v>0</v>
      </c>
      <c r="Z100" s="96">
        <f>(S100-Y100)*AUXILIAR!$BK$7</f>
        <v>0</v>
      </c>
      <c r="AA100" s="96">
        <f>(S100-Y100-Z100)*(AUXILIAR!$BL$7+AUXILIAR!$BM$7)</f>
        <v>0</v>
      </c>
      <c r="AB100" s="97">
        <f t="shared" si="65"/>
        <v>0</v>
      </c>
      <c r="AC100" s="97">
        <f t="shared" si="66"/>
        <v>0</v>
      </c>
      <c r="AD100" s="97">
        <f t="shared" si="67"/>
        <v>0</v>
      </c>
      <c r="AE100" s="97">
        <f t="shared" si="68"/>
        <v>0</v>
      </c>
      <c r="AF100" s="97">
        <f t="shared" si="69"/>
        <v>0</v>
      </c>
      <c r="AG100" s="96">
        <f t="shared" si="70"/>
        <v>-1</v>
      </c>
      <c r="AH100" s="94">
        <f t="shared" si="71"/>
        <v>0</v>
      </c>
      <c r="AI100" s="98">
        <f t="shared" si="72"/>
        <v>0</v>
      </c>
      <c r="AJ100" s="94">
        <f t="shared" si="73"/>
        <v>0</v>
      </c>
      <c r="AK100" s="94">
        <f t="shared" si="74"/>
        <v>0</v>
      </c>
      <c r="AL100" s="94">
        <f>AUXILIAR!$BM$12</f>
        <v>1</v>
      </c>
      <c r="AM100" s="94">
        <f>IF($E$2="XADREZ",
     IFERROR(VLOOKUP(G100,AUXILIAR!AB:AC,2,TRUE),0),
     IF(AC97="SIM", 0, IFERROR(VLOOKUP(G100,AUXILIAR!AB:AC,2,TRUE),0))
)</f>
        <v>0</v>
      </c>
      <c r="AN100" s="124">
        <f t="shared" si="89"/>
        <v>0</v>
      </c>
      <c r="AO100" s="94">
        <f t="shared" si="75"/>
        <v>0</v>
      </c>
      <c r="AP100" s="94">
        <f t="shared" si="76"/>
        <v>0</v>
      </c>
      <c r="AQ100" s="124">
        <f>IFERROR(INDEX(AUXILIAR!$AG$3:$AG$28,MATCH(G100,AUXILIAR!$AH$3:$AH$28,1))*AM100,0)</f>
        <v>0</v>
      </c>
      <c r="AR100" s="99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77"/>
        <v/>
      </c>
      <c r="AT100" s="89" t="str">
        <f t="shared" si="78"/>
        <v/>
      </c>
      <c r="AU100" s="89" t="str">
        <f t="shared" si="79"/>
        <v/>
      </c>
      <c r="AV100" s="89" t="str">
        <f t="shared" si="80"/>
        <v/>
      </c>
      <c r="AW100" s="89" t="str">
        <f t="shared" si="81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2"/>
        <v>0</v>
      </c>
      <c r="AZ100" s="89">
        <f t="shared" si="83"/>
        <v>0</v>
      </c>
      <c r="BA100" s="116">
        <f t="shared" si="84"/>
        <v>0</v>
      </c>
      <c r="BB100" s="116">
        <f t="shared" si="85"/>
        <v>0</v>
      </c>
      <c r="BC100" s="116">
        <f t="shared" si="86"/>
        <v>0</v>
      </c>
      <c r="BD100" s="116">
        <f t="shared" si="94"/>
        <v>0</v>
      </c>
      <c r="BE100" s="89">
        <f t="shared" si="90"/>
        <v>0</v>
      </c>
      <c r="BF100" s="90">
        <f t="shared" si="91"/>
        <v>0.01</v>
      </c>
      <c r="BG100" s="90">
        <f t="shared" si="92"/>
        <v>3.3333333333333333E-2</v>
      </c>
      <c r="BH100" s="116">
        <f t="shared" si="93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3">
        <v>1200</v>
      </c>
      <c r="L101" s="121" t="str">
        <f t="shared" si="87"/>
        <v>0</v>
      </c>
      <c r="M101" s="122">
        <f t="shared" si="88"/>
        <v>0</v>
      </c>
      <c r="N101" s="90">
        <f t="shared" si="61"/>
        <v>0</v>
      </c>
      <c r="O101" s="123">
        <f>IF(L101="",0,IFERROR(IF($M$2="ESTUDO",BH101,N101)+INDEX(AUXILIAR!$AO$3:$AO$8,MATCH(L101,{0;2;5;10;20;50},1))*1440,IF(M101="ESTUDO",BH101,N101)))</f>
        <v>0</v>
      </c>
      <c r="P101" s="94">
        <f t="shared" si="62"/>
        <v>0</v>
      </c>
      <c r="Q101" s="94">
        <f t="shared" si="63"/>
        <v>0</v>
      </c>
      <c r="R101" s="91" t="s">
        <v>0</v>
      </c>
      <c r="S101" s="88">
        <f t="shared" si="64"/>
        <v>0</v>
      </c>
      <c r="T101" s="94">
        <f>((AM101/(1+AUXILIAR!$BJ$4))-((AM101/(1+AUXILIAR!$BJ$4))*AUXILIAR!$BK$4))-(((AM101/(1+AUXILIAR!$BJ$4))-((AM101/(1+AUXILIAR!$BJ$4))*AUXILIAR!$BK$4))*((AUXILIAR!$BL$4+AUXILIAR!$BM$4)))</f>
        <v>0</v>
      </c>
      <c r="U101" s="94">
        <f>((S101/(1+AUXILIAR!$BJ$7))-((S101/(1+AUXILIAR!$BJ$7))*AUXILIAR!$BK$7))-(((S101/(1+AUXILIAR!$BJ$7))-((S101/(1+AUXILIAR!$BJ$7))*AUXILIAR!$BK$7))*((AUXILIAR!$BL$7+AUXILIAR!$BM$7)))</f>
        <v>0</v>
      </c>
      <c r="V101" s="96">
        <f>AM101-(AM101/(1+AUXILIAR!$BJ$4))</f>
        <v>0</v>
      </c>
      <c r="W101" s="96">
        <f>(AM101-V101)*AUXILIAR!$BK$4</f>
        <v>0</v>
      </c>
      <c r="X101" s="96">
        <f>(AM101-V101-W101)*(AUXILIAR!$BL$4+AUXILIAR!$BM$4)</f>
        <v>0</v>
      </c>
      <c r="Y101" s="96">
        <f>X101-(X101/(1+AUXILIAR!$BJ$7))</f>
        <v>0</v>
      </c>
      <c r="Z101" s="96">
        <f>(S101-Y101)*AUXILIAR!$BK$7</f>
        <v>0</v>
      </c>
      <c r="AA101" s="96">
        <f>(S101-Y101-Z101)*(AUXILIAR!$BL$7+AUXILIAR!$BM$7)</f>
        <v>0</v>
      </c>
      <c r="AB101" s="97">
        <f t="shared" si="65"/>
        <v>0</v>
      </c>
      <c r="AC101" s="97">
        <f t="shared" si="66"/>
        <v>0</v>
      </c>
      <c r="AD101" s="97">
        <f t="shared" si="67"/>
        <v>0</v>
      </c>
      <c r="AE101" s="97">
        <f t="shared" si="68"/>
        <v>0</v>
      </c>
      <c r="AF101" s="97">
        <f t="shared" si="69"/>
        <v>0</v>
      </c>
      <c r="AG101" s="96">
        <f t="shared" si="70"/>
        <v>-1</v>
      </c>
      <c r="AH101" s="94">
        <f t="shared" si="71"/>
        <v>0</v>
      </c>
      <c r="AI101" s="98">
        <f t="shared" si="72"/>
        <v>0</v>
      </c>
      <c r="AJ101" s="94">
        <f t="shared" si="73"/>
        <v>0</v>
      </c>
      <c r="AK101" s="94">
        <f t="shared" si="74"/>
        <v>0</v>
      </c>
      <c r="AL101" s="94">
        <f>AUXILIAR!$BM$12</f>
        <v>1</v>
      </c>
      <c r="AM101" s="94">
        <f>IF($E$2="XADREZ",
     IFERROR(VLOOKUP(G101,AUXILIAR!AB:AC,2,TRUE),0),
     IF(AC98="SIM", 0, IFERROR(VLOOKUP(G101,AUXILIAR!AB:AC,2,TRUE),0))
)</f>
        <v>0</v>
      </c>
      <c r="AN101" s="124">
        <f t="shared" si="89"/>
        <v>0</v>
      </c>
      <c r="AO101" s="94">
        <f t="shared" si="75"/>
        <v>0</v>
      </c>
      <c r="AP101" s="94">
        <f t="shared" si="76"/>
        <v>0</v>
      </c>
      <c r="AQ101" s="124">
        <f>IFERROR(INDEX(AUXILIAR!$AG$3:$AG$28,MATCH(G101,AUXILIAR!$AH$3:$AH$28,1))*AM101,0)</f>
        <v>0</v>
      </c>
      <c r="AR101" s="99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77"/>
        <v/>
      </c>
      <c r="AT101" s="89" t="str">
        <f t="shared" si="78"/>
        <v/>
      </c>
      <c r="AU101" s="89" t="str">
        <f t="shared" si="79"/>
        <v/>
      </c>
      <c r="AV101" s="89" t="str">
        <f t="shared" si="80"/>
        <v/>
      </c>
      <c r="AW101" s="89" t="str">
        <f t="shared" si="81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2"/>
        <v>0</v>
      </c>
      <c r="AZ101" s="89">
        <f t="shared" si="83"/>
        <v>0</v>
      </c>
      <c r="BA101" s="116">
        <f t="shared" si="84"/>
        <v>0</v>
      </c>
      <c r="BB101" s="116">
        <f t="shared" si="85"/>
        <v>0</v>
      </c>
      <c r="BC101" s="116">
        <f t="shared" si="86"/>
        <v>0</v>
      </c>
      <c r="BD101" s="116">
        <f t="shared" si="94"/>
        <v>0</v>
      </c>
      <c r="BE101" s="89">
        <f t="shared" si="90"/>
        <v>0</v>
      </c>
      <c r="BF101" s="90">
        <f t="shared" si="91"/>
        <v>0.01</v>
      </c>
      <c r="BG101" s="90">
        <f t="shared" si="92"/>
        <v>3.3333333333333333E-2</v>
      </c>
      <c r="BH101" s="116">
        <f t="shared" si="93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3">
        <v>1200</v>
      </c>
      <c r="L102" s="121" t="str">
        <f t="shared" si="87"/>
        <v>0</v>
      </c>
      <c r="M102" s="122">
        <f t="shared" si="88"/>
        <v>0</v>
      </c>
      <c r="N102" s="90">
        <f t="shared" si="61"/>
        <v>0</v>
      </c>
      <c r="O102" s="123">
        <f>IF(L102="",0,IFERROR(IF($M$2="ESTUDO",BH102,N102)+INDEX(AUXILIAR!$AO$3:$AO$8,MATCH(L102,{0;2;5;10;20;50},1))*1440,IF(M102="ESTUDO",BH102,N102)))</f>
        <v>0</v>
      </c>
      <c r="P102" s="94">
        <f t="shared" si="62"/>
        <v>0</v>
      </c>
      <c r="Q102" s="94">
        <f t="shared" si="63"/>
        <v>0</v>
      </c>
      <c r="R102" s="91" t="s">
        <v>0</v>
      </c>
      <c r="S102" s="88">
        <f t="shared" si="64"/>
        <v>0</v>
      </c>
      <c r="T102" s="94">
        <f>((AM102/(1+AUXILIAR!$BJ$4))-((AM102/(1+AUXILIAR!$BJ$4))*AUXILIAR!$BK$4))-(((AM102/(1+AUXILIAR!$BJ$4))-((AM102/(1+AUXILIAR!$BJ$4))*AUXILIAR!$BK$4))*((AUXILIAR!$BL$4+AUXILIAR!$BM$4)))</f>
        <v>0</v>
      </c>
      <c r="U102" s="94">
        <f>((S102/(1+AUXILIAR!$BJ$7))-((S102/(1+AUXILIAR!$BJ$7))*AUXILIAR!$BK$7))-(((S102/(1+AUXILIAR!$BJ$7))-((S102/(1+AUXILIAR!$BJ$7))*AUXILIAR!$BK$7))*((AUXILIAR!$BL$7+AUXILIAR!$BM$7)))</f>
        <v>0</v>
      </c>
      <c r="V102" s="96">
        <f>AM102-(AM102/(1+AUXILIAR!$BJ$4))</f>
        <v>0</v>
      </c>
      <c r="W102" s="96">
        <f>(AM102-V102)*AUXILIAR!$BK$4</f>
        <v>0</v>
      </c>
      <c r="X102" s="96">
        <f>(AM102-V102-W102)*(AUXILIAR!$BL$4+AUXILIAR!$BM$4)</f>
        <v>0</v>
      </c>
      <c r="Y102" s="96">
        <f>X102-(X102/(1+AUXILIAR!$BJ$7))</f>
        <v>0</v>
      </c>
      <c r="Z102" s="96">
        <f>(S102-Y102)*AUXILIAR!$BK$7</f>
        <v>0</v>
      </c>
      <c r="AA102" s="96">
        <f>(S102-Y102-Z102)*(AUXILIAR!$BL$7+AUXILIAR!$BM$7)</f>
        <v>0</v>
      </c>
      <c r="AB102" s="97">
        <f t="shared" si="65"/>
        <v>0</v>
      </c>
      <c r="AC102" s="97">
        <f t="shared" si="66"/>
        <v>0</v>
      </c>
      <c r="AD102" s="97">
        <f t="shared" si="67"/>
        <v>0</v>
      </c>
      <c r="AE102" s="97">
        <f t="shared" si="68"/>
        <v>0</v>
      </c>
      <c r="AF102" s="97">
        <f t="shared" si="69"/>
        <v>0</v>
      </c>
      <c r="AG102" s="96">
        <f t="shared" si="70"/>
        <v>-1</v>
      </c>
      <c r="AH102" s="94">
        <f t="shared" si="71"/>
        <v>0</v>
      </c>
      <c r="AI102" s="98">
        <f t="shared" si="72"/>
        <v>0</v>
      </c>
      <c r="AJ102" s="94">
        <f t="shared" si="73"/>
        <v>0</v>
      </c>
      <c r="AK102" s="94">
        <f t="shared" si="74"/>
        <v>0</v>
      </c>
      <c r="AL102" s="94">
        <f>AUXILIAR!$BM$12</f>
        <v>1</v>
      </c>
      <c r="AM102" s="94">
        <f>IF($E$2="XADREZ",
     IFERROR(VLOOKUP(G102,AUXILIAR!AB:AC,2,TRUE),0),
     IF(AC99="SIM", 0, IFERROR(VLOOKUP(G102,AUXILIAR!AB:AC,2,TRUE),0))
)</f>
        <v>0</v>
      </c>
      <c r="AN102" s="124">
        <f t="shared" si="89"/>
        <v>0</v>
      </c>
      <c r="AO102" s="94">
        <f t="shared" si="75"/>
        <v>0</v>
      </c>
      <c r="AP102" s="94">
        <f t="shared" si="76"/>
        <v>0</v>
      </c>
      <c r="AQ102" s="124">
        <f>IFERROR(INDEX(AUXILIAR!$AG$3:$AG$28,MATCH(G102,AUXILIAR!$AH$3:$AH$28,1))*AM102,0)</f>
        <v>0</v>
      </c>
      <c r="AR102" s="99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77"/>
        <v/>
      </c>
      <c r="AT102" s="89" t="str">
        <f t="shared" si="78"/>
        <v/>
      </c>
      <c r="AU102" s="89" t="str">
        <f t="shared" si="79"/>
        <v/>
      </c>
      <c r="AV102" s="89" t="str">
        <f t="shared" si="80"/>
        <v/>
      </c>
      <c r="AW102" s="89" t="str">
        <f t="shared" si="81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2"/>
        <v>0</v>
      </c>
      <c r="AZ102" s="89">
        <f t="shared" si="83"/>
        <v>0</v>
      </c>
      <c r="BA102" s="116">
        <f t="shared" si="84"/>
        <v>0</v>
      </c>
      <c r="BB102" s="116">
        <f t="shared" si="85"/>
        <v>0</v>
      </c>
      <c r="BC102" s="116">
        <f t="shared" si="86"/>
        <v>0</v>
      </c>
      <c r="BD102" s="116">
        <f t="shared" si="94"/>
        <v>0</v>
      </c>
      <c r="BE102" s="89">
        <f t="shared" si="90"/>
        <v>0</v>
      </c>
      <c r="BF102" s="90">
        <f t="shared" si="91"/>
        <v>0.01</v>
      </c>
      <c r="BG102" s="90">
        <f t="shared" si="92"/>
        <v>3.3333333333333333E-2</v>
      </c>
      <c r="BH102" s="116">
        <f t="shared" si="93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3">
        <v>1200</v>
      </c>
      <c r="L103" s="121" t="str">
        <f t="shared" si="87"/>
        <v>0</v>
      </c>
      <c r="M103" s="122">
        <f t="shared" si="88"/>
        <v>0</v>
      </c>
      <c r="N103" s="90">
        <f t="shared" si="61"/>
        <v>0</v>
      </c>
      <c r="O103" s="123">
        <f>IF(L103="",0,IFERROR(IF($M$2="ESTUDO",BH103,N103)+INDEX(AUXILIAR!$AO$3:$AO$8,MATCH(L103,{0;2;5;10;20;50},1))*1440,IF(M103="ESTUDO",BH103,N103)))</f>
        <v>0</v>
      </c>
      <c r="P103" s="94">
        <f t="shared" si="62"/>
        <v>0</v>
      </c>
      <c r="Q103" s="94">
        <f t="shared" si="63"/>
        <v>0</v>
      </c>
      <c r="R103" s="91" t="s">
        <v>0</v>
      </c>
      <c r="S103" s="88">
        <f t="shared" si="64"/>
        <v>0</v>
      </c>
      <c r="T103" s="94">
        <f>((AM103/(1+AUXILIAR!$BJ$4))-((AM103/(1+AUXILIAR!$BJ$4))*AUXILIAR!$BK$4))-(((AM103/(1+AUXILIAR!$BJ$4))-((AM103/(1+AUXILIAR!$BJ$4))*AUXILIAR!$BK$4))*((AUXILIAR!$BL$4+AUXILIAR!$BM$4)))</f>
        <v>0</v>
      </c>
      <c r="U103" s="94">
        <f>((S103/(1+AUXILIAR!$BJ$7))-((S103/(1+AUXILIAR!$BJ$7))*AUXILIAR!$BK$7))-(((S103/(1+AUXILIAR!$BJ$7))-((S103/(1+AUXILIAR!$BJ$7))*AUXILIAR!$BK$7))*((AUXILIAR!$BL$7+AUXILIAR!$BM$7)))</f>
        <v>0</v>
      </c>
      <c r="V103" s="96">
        <f>AM103-(AM103/(1+AUXILIAR!$BJ$4))</f>
        <v>0</v>
      </c>
      <c r="W103" s="96">
        <f>(AM103-V103)*AUXILIAR!$BK$4</f>
        <v>0</v>
      </c>
      <c r="X103" s="96">
        <f>(AM103-V103-W103)*(AUXILIAR!$BL$4+AUXILIAR!$BM$4)</f>
        <v>0</v>
      </c>
      <c r="Y103" s="96">
        <f>X103-(X103/(1+AUXILIAR!$BJ$7))</f>
        <v>0</v>
      </c>
      <c r="Z103" s="96">
        <f>(S103-Y103)*AUXILIAR!$BK$7</f>
        <v>0</v>
      </c>
      <c r="AA103" s="96">
        <f>(S103-Y103-Z103)*(AUXILIAR!$BL$7+AUXILIAR!$BM$7)</f>
        <v>0</v>
      </c>
      <c r="AB103" s="97">
        <f t="shared" si="65"/>
        <v>0</v>
      </c>
      <c r="AC103" s="97">
        <f t="shared" si="66"/>
        <v>0</v>
      </c>
      <c r="AD103" s="97">
        <f t="shared" si="67"/>
        <v>0</v>
      </c>
      <c r="AE103" s="97">
        <f t="shared" si="68"/>
        <v>0</v>
      </c>
      <c r="AF103" s="97">
        <f t="shared" si="69"/>
        <v>0</v>
      </c>
      <c r="AG103" s="96">
        <f t="shared" si="70"/>
        <v>-1</v>
      </c>
      <c r="AH103" s="94">
        <f t="shared" si="71"/>
        <v>0</v>
      </c>
      <c r="AI103" s="98">
        <f t="shared" si="72"/>
        <v>0</v>
      </c>
      <c r="AJ103" s="94">
        <f t="shared" si="73"/>
        <v>0</v>
      </c>
      <c r="AK103" s="94">
        <f t="shared" si="74"/>
        <v>0</v>
      </c>
      <c r="AL103" s="94">
        <f>AUXILIAR!$BM$12</f>
        <v>1</v>
      </c>
      <c r="AM103" s="94">
        <f>IF($E$2="XADREZ",
     IFERROR(VLOOKUP(G103,AUXILIAR!AB:AC,2,TRUE),0),
     IF(AC100="SIM", 0, IFERROR(VLOOKUP(G103,AUXILIAR!AB:AC,2,TRUE),0))
)</f>
        <v>0</v>
      </c>
      <c r="AN103" s="124">
        <f t="shared" si="89"/>
        <v>0</v>
      </c>
      <c r="AO103" s="94">
        <f t="shared" si="75"/>
        <v>0</v>
      </c>
      <c r="AP103" s="94">
        <f t="shared" si="76"/>
        <v>0</v>
      </c>
      <c r="AQ103" s="124">
        <f>IFERROR(INDEX(AUXILIAR!$AG$3:$AG$28,MATCH(G103,AUXILIAR!$AH$3:$AH$28,1))*AM103,0)</f>
        <v>0</v>
      </c>
      <c r="AR103" s="99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77"/>
        <v/>
      </c>
      <c r="AT103" s="89" t="str">
        <f t="shared" si="78"/>
        <v/>
      </c>
      <c r="AU103" s="89" t="str">
        <f t="shared" si="79"/>
        <v/>
      </c>
      <c r="AV103" s="89" t="str">
        <f t="shared" si="80"/>
        <v/>
      </c>
      <c r="AW103" s="89" t="str">
        <f t="shared" si="81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2"/>
        <v>0</v>
      </c>
      <c r="AZ103" s="89">
        <f t="shared" si="83"/>
        <v>0</v>
      </c>
      <c r="BA103" s="116">
        <f t="shared" si="84"/>
        <v>0</v>
      </c>
      <c r="BB103" s="116">
        <f t="shared" si="85"/>
        <v>0</v>
      </c>
      <c r="BC103" s="116">
        <f t="shared" si="86"/>
        <v>0</v>
      </c>
      <c r="BD103" s="116">
        <f t="shared" si="94"/>
        <v>0</v>
      </c>
      <c r="BE103" s="89">
        <f t="shared" si="90"/>
        <v>0</v>
      </c>
      <c r="BF103" s="90">
        <f t="shared" si="91"/>
        <v>0.01</v>
      </c>
      <c r="BG103" s="90">
        <f t="shared" si="92"/>
        <v>3.3333333333333333E-2</v>
      </c>
      <c r="BH103" s="116">
        <f t="shared" si="93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3">
        <v>1200</v>
      </c>
      <c r="L104" s="121" t="str">
        <f t="shared" si="87"/>
        <v>0</v>
      </c>
      <c r="M104" s="122">
        <f t="shared" si="88"/>
        <v>0</v>
      </c>
      <c r="N104" s="90">
        <f t="shared" si="61"/>
        <v>0</v>
      </c>
      <c r="O104" s="123">
        <f>IF(L104="",0,IFERROR(IF($M$2="ESTUDO",BH104,N104)+INDEX(AUXILIAR!$AO$3:$AO$8,MATCH(L104,{0;2;5;10;20;50},1))*1440,IF(M104="ESTUDO",BH104,N104)))</f>
        <v>0</v>
      </c>
      <c r="P104" s="94">
        <f t="shared" si="62"/>
        <v>0</v>
      </c>
      <c r="Q104" s="94">
        <f t="shared" si="63"/>
        <v>0</v>
      </c>
      <c r="R104" s="91" t="s">
        <v>0</v>
      </c>
      <c r="S104" s="88">
        <f t="shared" si="64"/>
        <v>0</v>
      </c>
      <c r="T104" s="94">
        <f>((AM104/(1+AUXILIAR!$BJ$4))-((AM104/(1+AUXILIAR!$BJ$4))*AUXILIAR!$BK$4))-(((AM104/(1+AUXILIAR!$BJ$4))-((AM104/(1+AUXILIAR!$BJ$4))*AUXILIAR!$BK$4))*((AUXILIAR!$BL$4+AUXILIAR!$BM$4)))</f>
        <v>0</v>
      </c>
      <c r="U104" s="94">
        <f>((S104/(1+AUXILIAR!$BJ$7))-((S104/(1+AUXILIAR!$BJ$7))*AUXILIAR!$BK$7))-(((S104/(1+AUXILIAR!$BJ$7))-((S104/(1+AUXILIAR!$BJ$7))*AUXILIAR!$BK$7))*((AUXILIAR!$BL$7+AUXILIAR!$BM$7)))</f>
        <v>0</v>
      </c>
      <c r="V104" s="96">
        <f>AM104-(AM104/(1+AUXILIAR!$BJ$4))</f>
        <v>0</v>
      </c>
      <c r="W104" s="96">
        <f>(AM104-V104)*AUXILIAR!$BK$4</f>
        <v>0</v>
      </c>
      <c r="X104" s="96">
        <f>(AM104-V104-W104)*(AUXILIAR!$BL$4+AUXILIAR!$BM$4)</f>
        <v>0</v>
      </c>
      <c r="Y104" s="96">
        <f>X104-(X104/(1+AUXILIAR!$BJ$7))</f>
        <v>0</v>
      </c>
      <c r="Z104" s="96">
        <f>(S104-Y104)*AUXILIAR!$BK$7</f>
        <v>0</v>
      </c>
      <c r="AA104" s="96">
        <f>(S104-Y104-Z104)*(AUXILIAR!$BL$7+AUXILIAR!$BM$7)</f>
        <v>0</v>
      </c>
      <c r="AB104" s="97">
        <f t="shared" si="65"/>
        <v>0</v>
      </c>
      <c r="AC104" s="97">
        <f t="shared" si="66"/>
        <v>0</v>
      </c>
      <c r="AD104" s="97">
        <f t="shared" si="67"/>
        <v>0</v>
      </c>
      <c r="AE104" s="97">
        <f t="shared" si="68"/>
        <v>0</v>
      </c>
      <c r="AF104" s="97">
        <f t="shared" si="69"/>
        <v>0</v>
      </c>
      <c r="AG104" s="96">
        <f t="shared" si="70"/>
        <v>-1</v>
      </c>
      <c r="AH104" s="94">
        <f t="shared" si="71"/>
        <v>0</v>
      </c>
      <c r="AI104" s="98">
        <f t="shared" si="72"/>
        <v>0</v>
      </c>
      <c r="AJ104" s="94">
        <f t="shared" si="73"/>
        <v>0</v>
      </c>
      <c r="AK104" s="94">
        <f t="shared" si="74"/>
        <v>0</v>
      </c>
      <c r="AL104" s="94">
        <f>AUXILIAR!$BM$12</f>
        <v>1</v>
      </c>
      <c r="AM104" s="94">
        <f>IF($E$2="XADREZ",
     IFERROR(VLOOKUP(G104,AUXILIAR!AB:AC,2,TRUE),0),
     IF(AC101="SIM", 0, IFERROR(VLOOKUP(G104,AUXILIAR!AB:AC,2,TRUE),0))
)</f>
        <v>0</v>
      </c>
      <c r="AN104" s="124">
        <f t="shared" si="89"/>
        <v>0</v>
      </c>
      <c r="AO104" s="94">
        <f t="shared" si="75"/>
        <v>0</v>
      </c>
      <c r="AP104" s="94">
        <f t="shared" si="76"/>
        <v>0</v>
      </c>
      <c r="AQ104" s="124">
        <f>IFERROR(INDEX(AUXILIAR!$AG$3:$AG$28,MATCH(G104,AUXILIAR!$AH$3:$AH$28,1))*AM104,0)</f>
        <v>0</v>
      </c>
      <c r="AR104" s="99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77"/>
        <v/>
      </c>
      <c r="AT104" s="89" t="str">
        <f t="shared" si="78"/>
        <v/>
      </c>
      <c r="AU104" s="89" t="str">
        <f t="shared" si="79"/>
        <v/>
      </c>
      <c r="AV104" s="89" t="str">
        <f t="shared" si="80"/>
        <v/>
      </c>
      <c r="AW104" s="89" t="str">
        <f t="shared" si="81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2"/>
        <v>0</v>
      </c>
      <c r="AZ104" s="89">
        <f t="shared" si="83"/>
        <v>0</v>
      </c>
      <c r="BA104" s="116">
        <f t="shared" si="84"/>
        <v>0</v>
      </c>
      <c r="BB104" s="116">
        <f t="shared" si="85"/>
        <v>0</v>
      </c>
      <c r="BC104" s="116">
        <f t="shared" si="86"/>
        <v>0</v>
      </c>
      <c r="BD104" s="116">
        <f t="shared" si="94"/>
        <v>0</v>
      </c>
      <c r="BE104" s="89">
        <f t="shared" si="90"/>
        <v>0</v>
      </c>
      <c r="BF104" s="90">
        <f t="shared" si="91"/>
        <v>0.01</v>
      </c>
      <c r="BG104" s="90">
        <f t="shared" si="92"/>
        <v>3.3333333333333333E-2</v>
      </c>
      <c r="BH104" s="116">
        <f t="shared" si="93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3">
        <v>1200</v>
      </c>
      <c r="L105" s="121" t="str">
        <f t="shared" si="87"/>
        <v>0</v>
      </c>
      <c r="M105" s="122">
        <f t="shared" si="88"/>
        <v>0</v>
      </c>
      <c r="N105" s="90">
        <f t="shared" si="61"/>
        <v>0</v>
      </c>
      <c r="O105" s="123">
        <f>IF(L105="",0,IFERROR(IF($M$2="ESTUDO",BH105,N105)+INDEX(AUXILIAR!$AO$3:$AO$8,MATCH(L105,{0;2;5;10;20;50},1))*1440,IF(M105="ESTUDO",BH105,N105)))</f>
        <v>0</v>
      </c>
      <c r="P105" s="94">
        <f t="shared" si="62"/>
        <v>0</v>
      </c>
      <c r="Q105" s="94">
        <f t="shared" si="63"/>
        <v>0</v>
      </c>
      <c r="R105" s="91" t="s">
        <v>0</v>
      </c>
      <c r="S105" s="88">
        <f t="shared" si="64"/>
        <v>0</v>
      </c>
      <c r="T105" s="94">
        <f>((AM105/(1+AUXILIAR!$BJ$4))-((AM105/(1+AUXILIAR!$BJ$4))*AUXILIAR!$BK$4))-(((AM105/(1+AUXILIAR!$BJ$4))-((AM105/(1+AUXILIAR!$BJ$4))*AUXILIAR!$BK$4))*((AUXILIAR!$BL$4+AUXILIAR!$BM$4)))</f>
        <v>0</v>
      </c>
      <c r="U105" s="94">
        <f>((S105/(1+AUXILIAR!$BJ$7))-((S105/(1+AUXILIAR!$BJ$7))*AUXILIAR!$BK$7))-(((S105/(1+AUXILIAR!$BJ$7))-((S105/(1+AUXILIAR!$BJ$7))*AUXILIAR!$BK$7))*((AUXILIAR!$BL$7+AUXILIAR!$BM$7)))</f>
        <v>0</v>
      </c>
      <c r="V105" s="96">
        <f>AM105-(AM105/(1+AUXILIAR!$BJ$4))</f>
        <v>0</v>
      </c>
      <c r="W105" s="96">
        <f>(AM105-V105)*AUXILIAR!$BK$4</f>
        <v>0</v>
      </c>
      <c r="X105" s="96">
        <f>(AM105-V105-W105)*(AUXILIAR!$BL$4+AUXILIAR!$BM$4)</f>
        <v>0</v>
      </c>
      <c r="Y105" s="96">
        <f>X105-(X105/(1+AUXILIAR!$BJ$7))</f>
        <v>0</v>
      </c>
      <c r="Z105" s="96">
        <f>(S105-Y105)*AUXILIAR!$BK$7</f>
        <v>0</v>
      </c>
      <c r="AA105" s="96">
        <f>(S105-Y105-Z105)*(AUXILIAR!$BL$7+AUXILIAR!$BM$7)</f>
        <v>0</v>
      </c>
      <c r="AB105" s="97">
        <f t="shared" si="65"/>
        <v>0</v>
      </c>
      <c r="AC105" s="97">
        <f t="shared" si="66"/>
        <v>0</v>
      </c>
      <c r="AD105" s="97">
        <f t="shared" si="67"/>
        <v>0</v>
      </c>
      <c r="AE105" s="97">
        <f t="shared" si="68"/>
        <v>0</v>
      </c>
      <c r="AF105" s="97">
        <f t="shared" si="69"/>
        <v>0</v>
      </c>
      <c r="AG105" s="96">
        <f t="shared" si="70"/>
        <v>-1</v>
      </c>
      <c r="AH105" s="94">
        <f t="shared" si="71"/>
        <v>0</v>
      </c>
      <c r="AI105" s="98">
        <f t="shared" si="72"/>
        <v>0</v>
      </c>
      <c r="AJ105" s="94">
        <f t="shared" si="73"/>
        <v>0</v>
      </c>
      <c r="AK105" s="94">
        <f t="shared" si="74"/>
        <v>0</v>
      </c>
      <c r="AL105" s="94">
        <f>AUXILIAR!$BM$12</f>
        <v>1</v>
      </c>
      <c r="AM105" s="94">
        <f>IF($E$2="XADREZ",
     IFERROR(VLOOKUP(G105,AUXILIAR!AB:AC,2,TRUE),0),
     IF(AC102="SIM", 0, IFERROR(VLOOKUP(G105,AUXILIAR!AB:AC,2,TRUE),0))
)</f>
        <v>0</v>
      </c>
      <c r="AN105" s="124">
        <f t="shared" si="89"/>
        <v>0</v>
      </c>
      <c r="AO105" s="94">
        <f t="shared" si="75"/>
        <v>0</v>
      </c>
      <c r="AP105" s="94">
        <f t="shared" si="76"/>
        <v>0</v>
      </c>
      <c r="AQ105" s="124">
        <f>IFERROR(INDEX(AUXILIAR!$AG$3:$AG$28,MATCH(G105,AUXILIAR!$AH$3:$AH$28,1))*AM105,0)</f>
        <v>0</v>
      </c>
      <c r="AR105" s="99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77"/>
        <v/>
      </c>
      <c r="AT105" s="89" t="str">
        <f t="shared" si="78"/>
        <v/>
      </c>
      <c r="AU105" s="89" t="str">
        <f t="shared" si="79"/>
        <v/>
      </c>
      <c r="AV105" s="89" t="str">
        <f t="shared" si="80"/>
        <v/>
      </c>
      <c r="AW105" s="89" t="str">
        <f t="shared" si="81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2"/>
        <v>0</v>
      </c>
      <c r="AZ105" s="89">
        <f t="shared" si="83"/>
        <v>0</v>
      </c>
      <c r="BA105" s="116">
        <f t="shared" si="84"/>
        <v>0</v>
      </c>
      <c r="BB105" s="116">
        <f t="shared" si="85"/>
        <v>0</v>
      </c>
      <c r="BC105" s="116">
        <f t="shared" si="86"/>
        <v>0</v>
      </c>
      <c r="BD105" s="116">
        <f t="shared" si="94"/>
        <v>0</v>
      </c>
      <c r="BE105" s="89">
        <f t="shared" si="90"/>
        <v>0</v>
      </c>
      <c r="BF105" s="90">
        <f t="shared" si="91"/>
        <v>0.01</v>
      </c>
      <c r="BG105" s="90">
        <f t="shared" si="92"/>
        <v>3.3333333333333333E-2</v>
      </c>
      <c r="BH105" s="116">
        <f t="shared" si="93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3">
        <v>1200</v>
      </c>
      <c r="L106" s="121" t="str">
        <f t="shared" si="87"/>
        <v>0</v>
      </c>
      <c r="M106" s="122">
        <f t="shared" si="88"/>
        <v>0</v>
      </c>
      <c r="N106" s="90">
        <f t="shared" si="61"/>
        <v>0</v>
      </c>
      <c r="O106" s="123">
        <f>IF(L106="",0,IFERROR(IF($M$2="ESTUDO",BH106,N106)+INDEX(AUXILIAR!$AO$3:$AO$8,MATCH(L106,{0;2;5;10;20;50},1))*1440,IF(M106="ESTUDO",BH106,N106)))</f>
        <v>0</v>
      </c>
      <c r="P106" s="94">
        <f t="shared" si="62"/>
        <v>0</v>
      </c>
      <c r="Q106" s="94">
        <f t="shared" si="63"/>
        <v>0</v>
      </c>
      <c r="R106" s="91" t="s">
        <v>0</v>
      </c>
      <c r="S106" s="88">
        <f t="shared" si="64"/>
        <v>0</v>
      </c>
      <c r="T106" s="94">
        <f>((AM106/(1+AUXILIAR!$BJ$4))-((AM106/(1+AUXILIAR!$BJ$4))*AUXILIAR!$BK$4))-(((AM106/(1+AUXILIAR!$BJ$4))-((AM106/(1+AUXILIAR!$BJ$4))*AUXILIAR!$BK$4))*((AUXILIAR!$BL$4+AUXILIAR!$BM$4)))</f>
        <v>0</v>
      </c>
      <c r="U106" s="94">
        <f>((S106/(1+AUXILIAR!$BJ$7))-((S106/(1+AUXILIAR!$BJ$7))*AUXILIAR!$BK$7))-(((S106/(1+AUXILIAR!$BJ$7))-((S106/(1+AUXILIAR!$BJ$7))*AUXILIAR!$BK$7))*((AUXILIAR!$BL$7+AUXILIAR!$BM$7)))</f>
        <v>0</v>
      </c>
      <c r="V106" s="96">
        <f>AM106-(AM106/(1+AUXILIAR!$BJ$4))</f>
        <v>0</v>
      </c>
      <c r="W106" s="96">
        <f>(AM106-V106)*AUXILIAR!$BK$4</f>
        <v>0</v>
      </c>
      <c r="X106" s="96">
        <f>(AM106-V106-W106)*(AUXILIAR!$BL$4+AUXILIAR!$BM$4)</f>
        <v>0</v>
      </c>
      <c r="Y106" s="96">
        <f>X106-(X106/(1+AUXILIAR!$BJ$7))</f>
        <v>0</v>
      </c>
      <c r="Z106" s="96">
        <f>(S106-Y106)*AUXILIAR!$BK$7</f>
        <v>0</v>
      </c>
      <c r="AA106" s="96">
        <f>(S106-Y106-Z106)*(AUXILIAR!$BL$7+AUXILIAR!$BM$7)</f>
        <v>0</v>
      </c>
      <c r="AB106" s="97">
        <f t="shared" si="65"/>
        <v>0</v>
      </c>
      <c r="AC106" s="97">
        <f t="shared" si="66"/>
        <v>0</v>
      </c>
      <c r="AD106" s="97">
        <f t="shared" si="67"/>
        <v>0</v>
      </c>
      <c r="AE106" s="97">
        <f t="shared" si="68"/>
        <v>0</v>
      </c>
      <c r="AF106" s="97">
        <f t="shared" si="69"/>
        <v>0</v>
      </c>
      <c r="AG106" s="96">
        <f t="shared" si="70"/>
        <v>-1</v>
      </c>
      <c r="AH106" s="94">
        <f t="shared" si="71"/>
        <v>0</v>
      </c>
      <c r="AI106" s="98">
        <f t="shared" si="72"/>
        <v>0</v>
      </c>
      <c r="AJ106" s="94">
        <f t="shared" si="73"/>
        <v>0</v>
      </c>
      <c r="AK106" s="94">
        <f t="shared" si="74"/>
        <v>0</v>
      </c>
      <c r="AL106" s="94">
        <f>AUXILIAR!$BM$12</f>
        <v>1</v>
      </c>
      <c r="AM106" s="94">
        <f>IF($E$2="XADREZ",
     IFERROR(VLOOKUP(G106,AUXILIAR!AB:AC,2,TRUE),0),
     IF(AC103="SIM", 0, IFERROR(VLOOKUP(G106,AUXILIAR!AB:AC,2,TRUE),0))
)</f>
        <v>0</v>
      </c>
      <c r="AN106" s="124">
        <f t="shared" si="89"/>
        <v>0</v>
      </c>
      <c r="AO106" s="94">
        <f t="shared" si="75"/>
        <v>0</v>
      </c>
      <c r="AP106" s="94">
        <f t="shared" si="76"/>
        <v>0</v>
      </c>
      <c r="AQ106" s="124">
        <f>IFERROR(INDEX(AUXILIAR!$AG$3:$AG$28,MATCH(G106,AUXILIAR!$AH$3:$AH$28,1))*AM106,0)</f>
        <v>0</v>
      </c>
      <c r="AR106" s="99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77"/>
        <v/>
      </c>
      <c r="AT106" s="89" t="str">
        <f t="shared" si="78"/>
        <v/>
      </c>
      <c r="AU106" s="89" t="str">
        <f t="shared" si="79"/>
        <v/>
      </c>
      <c r="AV106" s="89" t="str">
        <f t="shared" si="80"/>
        <v/>
      </c>
      <c r="AW106" s="89" t="str">
        <f t="shared" si="81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2"/>
        <v>0</v>
      </c>
      <c r="AZ106" s="89">
        <f t="shared" si="83"/>
        <v>0</v>
      </c>
      <c r="BA106" s="116">
        <f t="shared" si="84"/>
        <v>0</v>
      </c>
      <c r="BB106" s="116">
        <f t="shared" si="85"/>
        <v>0</v>
      </c>
      <c r="BC106" s="116">
        <f t="shared" si="86"/>
        <v>0</v>
      </c>
      <c r="BD106" s="116">
        <f t="shared" si="94"/>
        <v>0</v>
      </c>
      <c r="BE106" s="89">
        <f t="shared" si="90"/>
        <v>0</v>
      </c>
      <c r="BF106" s="90">
        <f t="shared" si="91"/>
        <v>0.01</v>
      </c>
      <c r="BG106" s="90">
        <f t="shared" si="92"/>
        <v>3.3333333333333333E-2</v>
      </c>
      <c r="BH106" s="116">
        <f t="shared" si="93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3">
        <v>1200</v>
      </c>
      <c r="L107" s="121" t="str">
        <f t="shared" si="87"/>
        <v>0</v>
      </c>
      <c r="M107" s="122">
        <f t="shared" si="88"/>
        <v>0</v>
      </c>
      <c r="N107" s="90">
        <f t="shared" si="61"/>
        <v>0</v>
      </c>
      <c r="O107" s="123">
        <f>IF(L107="",0,IFERROR(IF($M$2="ESTUDO",BH107,N107)+INDEX(AUXILIAR!$AO$3:$AO$8,MATCH(L107,{0;2;5;10;20;50},1))*1440,IF(M107="ESTUDO",BH107,N107)))</f>
        <v>0</v>
      </c>
      <c r="P107" s="94">
        <f t="shared" si="62"/>
        <v>0</v>
      </c>
      <c r="Q107" s="94">
        <f t="shared" si="63"/>
        <v>0</v>
      </c>
      <c r="R107" s="91" t="s">
        <v>0</v>
      </c>
      <c r="S107" s="88">
        <f t="shared" si="64"/>
        <v>0</v>
      </c>
      <c r="T107" s="94">
        <f>((AM107/(1+AUXILIAR!$BJ$4))-((AM107/(1+AUXILIAR!$BJ$4))*AUXILIAR!$BK$4))-(((AM107/(1+AUXILIAR!$BJ$4))-((AM107/(1+AUXILIAR!$BJ$4))*AUXILIAR!$BK$4))*((AUXILIAR!$BL$4+AUXILIAR!$BM$4)))</f>
        <v>0</v>
      </c>
      <c r="U107" s="94">
        <f>((S107/(1+AUXILIAR!$BJ$7))-((S107/(1+AUXILIAR!$BJ$7))*AUXILIAR!$BK$7))-(((S107/(1+AUXILIAR!$BJ$7))-((S107/(1+AUXILIAR!$BJ$7))*AUXILIAR!$BK$7))*((AUXILIAR!$BL$7+AUXILIAR!$BM$7)))</f>
        <v>0</v>
      </c>
      <c r="V107" s="96">
        <f>AM107-(AM107/(1+AUXILIAR!$BJ$4))</f>
        <v>0</v>
      </c>
      <c r="W107" s="96">
        <f>(AM107-V107)*AUXILIAR!$BK$4</f>
        <v>0</v>
      </c>
      <c r="X107" s="96">
        <f>(AM107-V107-W107)*(AUXILIAR!$BL$4+AUXILIAR!$BM$4)</f>
        <v>0</v>
      </c>
      <c r="Y107" s="96">
        <f>X107-(X107/(1+AUXILIAR!$BJ$7))</f>
        <v>0</v>
      </c>
      <c r="Z107" s="96">
        <f>(S107-Y107)*AUXILIAR!$BK$7</f>
        <v>0</v>
      </c>
      <c r="AA107" s="96">
        <f>(S107-Y107-Z107)*(AUXILIAR!$BL$7+AUXILIAR!$BM$7)</f>
        <v>0</v>
      </c>
      <c r="AB107" s="97">
        <f t="shared" si="65"/>
        <v>0</v>
      </c>
      <c r="AC107" s="97">
        <f t="shared" si="66"/>
        <v>0</v>
      </c>
      <c r="AD107" s="97">
        <f t="shared" si="67"/>
        <v>0</v>
      </c>
      <c r="AE107" s="97">
        <f t="shared" si="68"/>
        <v>0</v>
      </c>
      <c r="AF107" s="97">
        <f t="shared" si="69"/>
        <v>0</v>
      </c>
      <c r="AG107" s="96">
        <f t="shared" si="70"/>
        <v>-1</v>
      </c>
      <c r="AH107" s="94">
        <f t="shared" si="71"/>
        <v>0</v>
      </c>
      <c r="AI107" s="98">
        <f t="shared" si="72"/>
        <v>0</v>
      </c>
      <c r="AJ107" s="94">
        <f t="shared" si="73"/>
        <v>0</v>
      </c>
      <c r="AK107" s="94">
        <f t="shared" si="74"/>
        <v>0</v>
      </c>
      <c r="AL107" s="94">
        <f>AUXILIAR!$BM$12</f>
        <v>1</v>
      </c>
      <c r="AM107" s="94">
        <f>IF($E$2="XADREZ",
     IFERROR(VLOOKUP(G107,AUXILIAR!AB:AC,2,TRUE),0),
     IF(AC104="SIM", 0, IFERROR(VLOOKUP(G107,AUXILIAR!AB:AC,2,TRUE),0))
)</f>
        <v>0</v>
      </c>
      <c r="AN107" s="124">
        <f t="shared" si="89"/>
        <v>0</v>
      </c>
      <c r="AO107" s="94">
        <f t="shared" si="75"/>
        <v>0</v>
      </c>
      <c r="AP107" s="94">
        <f t="shared" si="76"/>
        <v>0</v>
      </c>
      <c r="AQ107" s="124">
        <f>IFERROR(INDEX(AUXILIAR!$AG$3:$AG$28,MATCH(G107,AUXILIAR!$AH$3:$AH$28,1))*AM107,0)</f>
        <v>0</v>
      </c>
      <c r="AR107" s="99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77"/>
        <v/>
      </c>
      <c r="AT107" s="89" t="str">
        <f t="shared" si="78"/>
        <v/>
      </c>
      <c r="AU107" s="89" t="str">
        <f t="shared" si="79"/>
        <v/>
      </c>
      <c r="AV107" s="89" t="str">
        <f t="shared" si="80"/>
        <v/>
      </c>
      <c r="AW107" s="89" t="str">
        <f t="shared" si="81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2"/>
        <v>0</v>
      </c>
      <c r="AZ107" s="89">
        <f t="shared" si="83"/>
        <v>0</v>
      </c>
      <c r="BA107" s="116">
        <f t="shared" si="84"/>
        <v>0</v>
      </c>
      <c r="BB107" s="116">
        <f t="shared" si="85"/>
        <v>0</v>
      </c>
      <c r="BC107" s="116">
        <f t="shared" si="86"/>
        <v>0</v>
      </c>
      <c r="BD107" s="116">
        <f t="shared" si="94"/>
        <v>0</v>
      </c>
      <c r="BE107" s="89">
        <f t="shared" si="90"/>
        <v>0</v>
      </c>
      <c r="BF107" s="90">
        <f t="shared" si="91"/>
        <v>0.01</v>
      </c>
      <c r="BG107" s="90">
        <f t="shared" si="92"/>
        <v>3.3333333333333333E-2</v>
      </c>
      <c r="BH107" s="116">
        <f t="shared" si="93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3">
        <v>1200</v>
      </c>
      <c r="L108" s="121" t="str">
        <f t="shared" si="87"/>
        <v>0</v>
      </c>
      <c r="M108" s="122">
        <f t="shared" si="88"/>
        <v>0</v>
      </c>
      <c r="N108" s="90">
        <f t="shared" si="61"/>
        <v>0</v>
      </c>
      <c r="O108" s="123">
        <f>IF(L108="",0,IFERROR(IF($M$2="ESTUDO",BH108,N108)+INDEX(AUXILIAR!$AO$3:$AO$8,MATCH(L108,{0;2;5;10;20;50},1))*1440,IF(M108="ESTUDO",BH108,N108)))</f>
        <v>0</v>
      </c>
      <c r="P108" s="94">
        <f t="shared" si="62"/>
        <v>0</v>
      </c>
      <c r="Q108" s="94">
        <f t="shared" si="63"/>
        <v>0</v>
      </c>
      <c r="R108" s="91" t="s">
        <v>0</v>
      </c>
      <c r="S108" s="88">
        <f t="shared" si="64"/>
        <v>0</v>
      </c>
      <c r="T108" s="94">
        <f>((AM108/(1+AUXILIAR!$BJ$4))-((AM108/(1+AUXILIAR!$BJ$4))*AUXILIAR!$BK$4))-(((AM108/(1+AUXILIAR!$BJ$4))-((AM108/(1+AUXILIAR!$BJ$4))*AUXILIAR!$BK$4))*((AUXILIAR!$BL$4+AUXILIAR!$BM$4)))</f>
        <v>0</v>
      </c>
      <c r="U108" s="94">
        <f>((S108/(1+AUXILIAR!$BJ$7))-((S108/(1+AUXILIAR!$BJ$7))*AUXILIAR!$BK$7))-(((S108/(1+AUXILIAR!$BJ$7))-((S108/(1+AUXILIAR!$BJ$7))*AUXILIAR!$BK$7))*((AUXILIAR!$BL$7+AUXILIAR!$BM$7)))</f>
        <v>0</v>
      </c>
      <c r="V108" s="96">
        <f>AM108-(AM108/(1+AUXILIAR!$BJ$4))</f>
        <v>0</v>
      </c>
      <c r="W108" s="96">
        <f>(AM108-V108)*AUXILIAR!$BK$4</f>
        <v>0</v>
      </c>
      <c r="X108" s="96">
        <f>(AM108-V108-W108)*(AUXILIAR!$BL$4+AUXILIAR!$BM$4)</f>
        <v>0</v>
      </c>
      <c r="Y108" s="96">
        <f>X108-(X108/(1+AUXILIAR!$BJ$7))</f>
        <v>0</v>
      </c>
      <c r="Z108" s="96">
        <f>(S108-Y108)*AUXILIAR!$BK$7</f>
        <v>0</v>
      </c>
      <c r="AA108" s="96">
        <f>(S108-Y108-Z108)*(AUXILIAR!$BL$7+AUXILIAR!$BM$7)</f>
        <v>0</v>
      </c>
      <c r="AB108" s="97">
        <f t="shared" si="65"/>
        <v>0</v>
      </c>
      <c r="AC108" s="97">
        <f t="shared" si="66"/>
        <v>0</v>
      </c>
      <c r="AD108" s="97">
        <f t="shared" si="67"/>
        <v>0</v>
      </c>
      <c r="AE108" s="97">
        <f t="shared" si="68"/>
        <v>0</v>
      </c>
      <c r="AF108" s="97">
        <f t="shared" si="69"/>
        <v>0</v>
      </c>
      <c r="AG108" s="96">
        <f t="shared" si="70"/>
        <v>-1</v>
      </c>
      <c r="AH108" s="94">
        <f t="shared" si="71"/>
        <v>0</v>
      </c>
      <c r="AI108" s="98">
        <f t="shared" si="72"/>
        <v>0</v>
      </c>
      <c r="AJ108" s="94">
        <f t="shared" si="73"/>
        <v>0</v>
      </c>
      <c r="AK108" s="94">
        <f t="shared" si="74"/>
        <v>0</v>
      </c>
      <c r="AL108" s="94">
        <f>AUXILIAR!$BM$12</f>
        <v>1</v>
      </c>
      <c r="AM108" s="94">
        <f>IF($E$2="XADREZ",
     IFERROR(VLOOKUP(G108,AUXILIAR!AB:AC,2,TRUE),0),
     IF(AC105="SIM", 0, IFERROR(VLOOKUP(G108,AUXILIAR!AB:AC,2,TRUE),0))
)</f>
        <v>0</v>
      </c>
      <c r="AN108" s="124">
        <f t="shared" si="89"/>
        <v>0</v>
      </c>
      <c r="AO108" s="94">
        <f t="shared" si="75"/>
        <v>0</v>
      </c>
      <c r="AP108" s="94">
        <f t="shared" si="76"/>
        <v>0</v>
      </c>
      <c r="AQ108" s="124">
        <f>IFERROR(INDEX(AUXILIAR!$AG$3:$AG$28,MATCH(G108,AUXILIAR!$AH$3:$AH$28,1))*AM108,0)</f>
        <v>0</v>
      </c>
      <c r="AR108" s="99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77"/>
        <v/>
      </c>
      <c r="AT108" s="89" t="str">
        <f t="shared" si="78"/>
        <v/>
      </c>
      <c r="AU108" s="89" t="str">
        <f t="shared" si="79"/>
        <v/>
      </c>
      <c r="AV108" s="89" t="str">
        <f t="shared" si="80"/>
        <v/>
      </c>
      <c r="AW108" s="89" t="str">
        <f t="shared" si="81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2"/>
        <v>0</v>
      </c>
      <c r="AZ108" s="89">
        <f t="shared" si="83"/>
        <v>0</v>
      </c>
      <c r="BA108" s="116">
        <f t="shared" si="84"/>
        <v>0</v>
      </c>
      <c r="BB108" s="116">
        <f t="shared" si="85"/>
        <v>0</v>
      </c>
      <c r="BC108" s="116">
        <f t="shared" si="86"/>
        <v>0</v>
      </c>
      <c r="BD108" s="116">
        <f t="shared" si="94"/>
        <v>0</v>
      </c>
      <c r="BE108" s="89">
        <f t="shared" si="90"/>
        <v>0</v>
      </c>
      <c r="BF108" s="90">
        <f t="shared" si="91"/>
        <v>0.01</v>
      </c>
      <c r="BG108" s="90">
        <f t="shared" si="92"/>
        <v>3.3333333333333333E-2</v>
      </c>
      <c r="BH108" s="116">
        <f t="shared" si="93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3">
        <v>1200</v>
      </c>
      <c r="L109" s="121" t="str">
        <f t="shared" si="87"/>
        <v>0</v>
      </c>
      <c r="M109" s="122">
        <f t="shared" si="88"/>
        <v>0</v>
      </c>
      <c r="N109" s="90">
        <f t="shared" si="61"/>
        <v>0</v>
      </c>
      <c r="O109" s="123">
        <f>IF(L109="",0,IFERROR(IF($M$2="ESTUDO",BH109,N109)+INDEX(AUXILIAR!$AO$3:$AO$8,MATCH(L109,{0;2;5;10;20;50},1))*1440,IF(M109="ESTUDO",BH109,N109)))</f>
        <v>0</v>
      </c>
      <c r="P109" s="94">
        <f t="shared" si="62"/>
        <v>0</v>
      </c>
      <c r="Q109" s="94">
        <f t="shared" si="63"/>
        <v>0</v>
      </c>
      <c r="R109" s="91" t="s">
        <v>0</v>
      </c>
      <c r="S109" s="88">
        <f t="shared" si="64"/>
        <v>0</v>
      </c>
      <c r="T109" s="94">
        <f>((AM109/(1+AUXILIAR!$BJ$4))-((AM109/(1+AUXILIAR!$BJ$4))*AUXILIAR!$BK$4))-(((AM109/(1+AUXILIAR!$BJ$4))-((AM109/(1+AUXILIAR!$BJ$4))*AUXILIAR!$BK$4))*((AUXILIAR!$BL$4+AUXILIAR!$BM$4)))</f>
        <v>0</v>
      </c>
      <c r="U109" s="94">
        <f>((S109/(1+AUXILIAR!$BJ$7))-((S109/(1+AUXILIAR!$BJ$7))*AUXILIAR!$BK$7))-(((S109/(1+AUXILIAR!$BJ$7))-((S109/(1+AUXILIAR!$BJ$7))*AUXILIAR!$BK$7))*((AUXILIAR!$BL$7+AUXILIAR!$BM$7)))</f>
        <v>0</v>
      </c>
      <c r="V109" s="96">
        <f>AM109-(AM109/(1+AUXILIAR!$BJ$4))</f>
        <v>0</v>
      </c>
      <c r="W109" s="96">
        <f>(AM109-V109)*AUXILIAR!$BK$4</f>
        <v>0</v>
      </c>
      <c r="X109" s="96">
        <f>(AM109-V109-W109)*(AUXILIAR!$BL$4+AUXILIAR!$BM$4)</f>
        <v>0</v>
      </c>
      <c r="Y109" s="96">
        <f>X109-(X109/(1+AUXILIAR!$BJ$7))</f>
        <v>0</v>
      </c>
      <c r="Z109" s="96">
        <f>(S109-Y109)*AUXILIAR!$BK$7</f>
        <v>0</v>
      </c>
      <c r="AA109" s="96">
        <f>(S109-Y109-Z109)*(AUXILIAR!$BL$7+AUXILIAR!$BM$7)</f>
        <v>0</v>
      </c>
      <c r="AB109" s="97">
        <f t="shared" si="65"/>
        <v>0</v>
      </c>
      <c r="AC109" s="97">
        <f t="shared" si="66"/>
        <v>0</v>
      </c>
      <c r="AD109" s="97">
        <f t="shared" si="67"/>
        <v>0</v>
      </c>
      <c r="AE109" s="97">
        <f t="shared" si="68"/>
        <v>0</v>
      </c>
      <c r="AF109" s="97">
        <f t="shared" si="69"/>
        <v>0</v>
      </c>
      <c r="AG109" s="96">
        <f t="shared" si="70"/>
        <v>-1</v>
      </c>
      <c r="AH109" s="94">
        <f t="shared" si="71"/>
        <v>0</v>
      </c>
      <c r="AI109" s="98">
        <f t="shared" si="72"/>
        <v>0</v>
      </c>
      <c r="AJ109" s="94">
        <f t="shared" si="73"/>
        <v>0</v>
      </c>
      <c r="AK109" s="94">
        <f t="shared" si="74"/>
        <v>0</v>
      </c>
      <c r="AL109" s="94">
        <f>AUXILIAR!$BM$12</f>
        <v>1</v>
      </c>
      <c r="AM109" s="94">
        <f>IF($E$2="XADREZ",
     IFERROR(VLOOKUP(G109,AUXILIAR!AB:AC,2,TRUE),0),
     IF(AC106="SIM", 0, IFERROR(VLOOKUP(G109,AUXILIAR!AB:AC,2,TRUE),0))
)</f>
        <v>0</v>
      </c>
      <c r="AN109" s="124">
        <f t="shared" si="89"/>
        <v>0</v>
      </c>
      <c r="AO109" s="94">
        <f t="shared" si="75"/>
        <v>0</v>
      </c>
      <c r="AP109" s="94">
        <f t="shared" si="76"/>
        <v>0</v>
      </c>
      <c r="AQ109" s="124">
        <f>IFERROR(INDEX(AUXILIAR!$AG$3:$AG$28,MATCH(G109,AUXILIAR!$AH$3:$AH$28,1))*AM109,0)</f>
        <v>0</v>
      </c>
      <c r="AR109" s="99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77"/>
        <v/>
      </c>
      <c r="AT109" s="89" t="str">
        <f t="shared" si="78"/>
        <v/>
      </c>
      <c r="AU109" s="89" t="str">
        <f t="shared" si="79"/>
        <v/>
      </c>
      <c r="AV109" s="89" t="str">
        <f t="shared" si="80"/>
        <v/>
      </c>
      <c r="AW109" s="89" t="str">
        <f t="shared" si="81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2"/>
        <v>0</v>
      </c>
      <c r="AZ109" s="89">
        <f t="shared" si="83"/>
        <v>0</v>
      </c>
      <c r="BA109" s="116">
        <f t="shared" si="84"/>
        <v>0</v>
      </c>
      <c r="BB109" s="116">
        <f t="shared" si="85"/>
        <v>0</v>
      </c>
      <c r="BC109" s="116">
        <f t="shared" si="86"/>
        <v>0</v>
      </c>
      <c r="BD109" s="116">
        <f t="shared" si="94"/>
        <v>0</v>
      </c>
      <c r="BE109" s="89">
        <f t="shared" si="90"/>
        <v>0</v>
      </c>
      <c r="BF109" s="90">
        <f t="shared" si="91"/>
        <v>0.01</v>
      </c>
      <c r="BG109" s="90">
        <f t="shared" si="92"/>
        <v>3.3333333333333333E-2</v>
      </c>
      <c r="BH109" s="116">
        <f t="shared" si="93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3">
        <v>1200</v>
      </c>
      <c r="L110" s="121" t="str">
        <f t="shared" si="87"/>
        <v>0</v>
      </c>
      <c r="M110" s="122">
        <f t="shared" si="88"/>
        <v>0</v>
      </c>
      <c r="N110" s="90">
        <f t="shared" ref="N110:N141" si="95">IFERROR((AU110/AX110)+BC110,0)</f>
        <v>0</v>
      </c>
      <c r="O110" s="123">
        <f>IF(L110="",0,IFERROR(IF($M$2="ESTUDO",BH110,N110)+INDEX(AUXILIAR!$AO$3:$AO$8,MATCH(L110,{0;2;5;10;20;50},1))*1440,IF(M110="ESTUDO",BH110,N110)))</f>
        <v>0</v>
      </c>
      <c r="P110" s="94">
        <f t="shared" ref="P110:P141" si="96">IFERROR(Q110/C110,0)</f>
        <v>0</v>
      </c>
      <c r="Q110" s="94">
        <f t="shared" ref="Q110:Q141" si="97">IFERROR($D$2 * ROUND(M110, 2), 0)</f>
        <v>0</v>
      </c>
      <c r="R110" s="91" t="s">
        <v>0</v>
      </c>
      <c r="S110" s="88">
        <f t="shared" ref="S110:S141" si="98">IF(A110="",0,$D$2)</f>
        <v>0</v>
      </c>
      <c r="T110" s="94">
        <f>((AM110/(1+AUXILIAR!$BJ$4))-((AM110/(1+AUXILIAR!$BJ$4))*AUXILIAR!$BK$4))-(((AM110/(1+AUXILIAR!$BJ$4))-((AM110/(1+AUXILIAR!$BJ$4))*AUXILIAR!$BK$4))*((AUXILIAR!$BL$4+AUXILIAR!$BM$4)))</f>
        <v>0</v>
      </c>
      <c r="U110" s="94">
        <f>((S110/(1+AUXILIAR!$BJ$7))-((S110/(1+AUXILIAR!$BJ$7))*AUXILIAR!$BK$7))-(((S110/(1+AUXILIAR!$BJ$7))-((S110/(1+AUXILIAR!$BJ$7))*AUXILIAR!$BK$7))*((AUXILIAR!$BL$7+AUXILIAR!$BM$7)))</f>
        <v>0</v>
      </c>
      <c r="V110" s="96">
        <f>AM110-(AM110/(1+AUXILIAR!$BJ$4))</f>
        <v>0</v>
      </c>
      <c r="W110" s="96">
        <f>(AM110-V110)*AUXILIAR!$BK$4</f>
        <v>0</v>
      </c>
      <c r="X110" s="96">
        <f>(AM110-V110-W110)*(AUXILIAR!$BL$4+AUXILIAR!$BM$4)</f>
        <v>0</v>
      </c>
      <c r="Y110" s="96">
        <f>X110-(X110/(1+AUXILIAR!$BJ$7))</f>
        <v>0</v>
      </c>
      <c r="Z110" s="96">
        <f>(S110-Y110)*AUXILIAR!$BK$7</f>
        <v>0</v>
      </c>
      <c r="AA110" s="96">
        <f>(S110-Y110-Z110)*(AUXILIAR!$BL$7+AUXILIAR!$BM$7)</f>
        <v>0</v>
      </c>
      <c r="AB110" s="97">
        <f t="shared" ref="AB110:AB141" si="99">V110-Y110</f>
        <v>0</v>
      </c>
      <c r="AC110" s="97">
        <f t="shared" ref="AC110:AC141" si="100">W110-Z110</f>
        <v>0</v>
      </c>
      <c r="AD110" s="97">
        <f t="shared" ref="AD110:AD141" si="101">X110-AA110</f>
        <v>0</v>
      </c>
      <c r="AE110" s="97">
        <f t="shared" ref="AE110:AE141" si="102">AB110+AC110+AD110</f>
        <v>0</v>
      </c>
      <c r="AF110" s="97">
        <f t="shared" ref="AF110:AF141" si="103">IFERROR(S110*M110,0)</f>
        <v>0</v>
      </c>
      <c r="AG110" s="96">
        <f t="shared" ref="AG110:AG141" si="104">IFERROR((S110-AM110+AE110-AO110-AP110-AQ110-AL110),0)</f>
        <v>-1</v>
      </c>
      <c r="AH110" s="94">
        <f t="shared" ref="AH110:AH141" si="105">IFERROR(AG110*M110,0)</f>
        <v>0</v>
      </c>
      <c r="AI110" s="98">
        <f t="shared" ref="AI110:AI141" si="106">IFERROR(AG110/S110,0)</f>
        <v>0</v>
      </c>
      <c r="AJ110" s="94">
        <f t="shared" ref="AJ110:AJ141" si="107">IF(G110="",0,(AM110+AL110+AQ110+AP110+AO110+AN110))</f>
        <v>0</v>
      </c>
      <c r="AK110" s="94">
        <f t="shared" ref="AK110:AK141" si="108">IFERROR(AJ110*M110,0)</f>
        <v>0</v>
      </c>
      <c r="AL110" s="94">
        <f>AUXILIAR!$BM$12</f>
        <v>1</v>
      </c>
      <c r="AM110" s="94">
        <f>IF($E$2="XADREZ",
     IFERROR(VLOOKUP(G110,AUXILIAR!AB:AC,2,TRUE),0),
     IF(AC107="SIM", 0, IFERROR(VLOOKUP(G110,AUXILIAR!AB:AC,2,TRUE),0))
)</f>
        <v>0</v>
      </c>
      <c r="AN110" s="124">
        <f t="shared" si="89"/>
        <v>0</v>
      </c>
      <c r="AO110" s="94">
        <f t="shared" ref="AO110:AO141" si="109">IFERROR(S110*$B$2,0)</f>
        <v>0</v>
      </c>
      <c r="AP110" s="94">
        <f t="shared" ref="AP110:AP141" si="110">IF(G110="",0,$C$2)</f>
        <v>0</v>
      </c>
      <c r="AQ110" s="124">
        <f>IFERROR(INDEX(AUXILIAR!$AG$3:$AG$28,MATCH(G110,AUXILIAR!$AH$3:$AH$28,1))*AM110,0)</f>
        <v>0</v>
      </c>
      <c r="AR110" s="99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1">IF(OR(D110="Q",D110="R"),(H110*I110),IF(D110="T",(H110*I110)/2,IF(D110="TP",((H110+I110)*J110)/2,IF(D110="C",PI()*((H110/2)^2),""))))</f>
        <v/>
      </c>
      <c r="AT110" s="89" t="str">
        <f t="shared" ref="AT110:AT141" si="112">IFERROR(AS110*C110,"")</f>
        <v/>
      </c>
      <c r="AU110" s="89" t="str">
        <f t="shared" ref="AU110:AU141" si="113">IFERROR(AV110*C110,"")</f>
        <v/>
      </c>
      <c r="AV110" s="89" t="str">
        <f t="shared" ref="AV110:AV141" si="114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15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16">IF(OR(E110=0,F110=0),0,PI()*F110*E110)</f>
        <v>0</v>
      </c>
      <c r="AZ110" s="89">
        <f t="shared" ref="AZ110:AZ141" si="117">IFERROR(
IF(OR(E110=0,F110=0),0,
   IF($R110="LASER",
      IF($F110&lt;=$G110*1.5,$AX110*0.7,$AX110),
   IF($R110="PLASMA",
      IF($F110&lt;=$G110*2,$AX110*0.5,$AX110),
   0))),
0)</f>
        <v>0</v>
      </c>
      <c r="BA110" s="116">
        <f t="shared" ref="BA110:BA141" si="118">IFERROR(IF($AY110=0,0,$AY110/$AZ110),0)</f>
        <v>0</v>
      </c>
      <c r="BB110" s="116">
        <f t="shared" ref="BB110:BB141" si="119">IF(OR(E110=0,F110=0),0,
 IF(F110&lt;=4.75,5/60,
 IF(F110&lt;=9.5,7/60,
 10/60)))</f>
        <v>0</v>
      </c>
      <c r="BC110" s="116">
        <f t="shared" ref="BC110:BC141" si="120">IF(OR(E110=0,F110=0),0,$BA110+($BB110*$E110))</f>
        <v>0</v>
      </c>
      <c r="BD110" s="116">
        <f t="shared" si="94"/>
        <v>0</v>
      </c>
      <c r="BE110" s="89">
        <f t="shared" si="90"/>
        <v>0</v>
      </c>
      <c r="BF110" s="90">
        <f t="shared" si="91"/>
        <v>0.01</v>
      </c>
      <c r="BG110" s="90">
        <f t="shared" si="92"/>
        <v>3.3333333333333333E-2</v>
      </c>
      <c r="BH110" s="116">
        <f t="shared" si="93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3">
        <v>1200</v>
      </c>
      <c r="L111" s="121" t="str">
        <f t="shared" si="87"/>
        <v>0</v>
      </c>
      <c r="M111" s="122">
        <f t="shared" si="88"/>
        <v>0</v>
      </c>
      <c r="N111" s="90">
        <f t="shared" si="95"/>
        <v>0</v>
      </c>
      <c r="O111" s="123">
        <f>IF(L111="",0,IFERROR(IF($M$2="ESTUDO",BH111,N111)+INDEX(AUXILIAR!$AO$3:$AO$8,MATCH(L111,{0;2;5;10;20;50},1))*1440,IF(M111="ESTUDO",BH111,N111)))</f>
        <v>0</v>
      </c>
      <c r="P111" s="94">
        <f t="shared" si="96"/>
        <v>0</v>
      </c>
      <c r="Q111" s="94">
        <f t="shared" si="97"/>
        <v>0</v>
      </c>
      <c r="R111" s="91" t="s">
        <v>0</v>
      </c>
      <c r="S111" s="88">
        <f t="shared" si="98"/>
        <v>0</v>
      </c>
      <c r="T111" s="94">
        <f>((AM111/(1+AUXILIAR!$BJ$4))-((AM111/(1+AUXILIAR!$BJ$4))*AUXILIAR!$BK$4))-(((AM111/(1+AUXILIAR!$BJ$4))-((AM111/(1+AUXILIAR!$BJ$4))*AUXILIAR!$BK$4))*((AUXILIAR!$BL$4+AUXILIAR!$BM$4)))</f>
        <v>0</v>
      </c>
      <c r="U111" s="94">
        <f>((S111/(1+AUXILIAR!$BJ$7))-((S111/(1+AUXILIAR!$BJ$7))*AUXILIAR!$BK$7))-(((S111/(1+AUXILIAR!$BJ$7))-((S111/(1+AUXILIAR!$BJ$7))*AUXILIAR!$BK$7))*((AUXILIAR!$BL$7+AUXILIAR!$BM$7)))</f>
        <v>0</v>
      </c>
      <c r="V111" s="96">
        <f>AM111-(AM111/(1+AUXILIAR!$BJ$4))</f>
        <v>0</v>
      </c>
      <c r="W111" s="96">
        <f>(AM111-V111)*AUXILIAR!$BK$4</f>
        <v>0</v>
      </c>
      <c r="X111" s="96">
        <f>(AM111-V111-W111)*(AUXILIAR!$BL$4+AUXILIAR!$BM$4)</f>
        <v>0</v>
      </c>
      <c r="Y111" s="96">
        <f>X111-(X111/(1+AUXILIAR!$BJ$7))</f>
        <v>0</v>
      </c>
      <c r="Z111" s="96">
        <f>(S111-Y111)*AUXILIAR!$BK$7</f>
        <v>0</v>
      </c>
      <c r="AA111" s="96">
        <f>(S111-Y111-Z111)*(AUXILIAR!$BL$7+AUXILIAR!$BM$7)</f>
        <v>0</v>
      </c>
      <c r="AB111" s="97">
        <f t="shared" si="99"/>
        <v>0</v>
      </c>
      <c r="AC111" s="97">
        <f t="shared" si="100"/>
        <v>0</v>
      </c>
      <c r="AD111" s="97">
        <f t="shared" si="101"/>
        <v>0</v>
      </c>
      <c r="AE111" s="97">
        <f t="shared" si="102"/>
        <v>0</v>
      </c>
      <c r="AF111" s="97">
        <f t="shared" si="103"/>
        <v>0</v>
      </c>
      <c r="AG111" s="96">
        <f t="shared" si="104"/>
        <v>-1</v>
      </c>
      <c r="AH111" s="94">
        <f t="shared" si="105"/>
        <v>0</v>
      </c>
      <c r="AI111" s="98">
        <f t="shared" si="106"/>
        <v>0</v>
      </c>
      <c r="AJ111" s="94">
        <f t="shared" si="107"/>
        <v>0</v>
      </c>
      <c r="AK111" s="94">
        <f t="shared" si="108"/>
        <v>0</v>
      </c>
      <c r="AL111" s="94">
        <f>AUXILIAR!$BM$12</f>
        <v>1</v>
      </c>
      <c r="AM111" s="94">
        <f>IF($E$2="XADREZ",
     IFERROR(VLOOKUP(G111,AUXILIAR!AB:AC,2,TRUE),0),
     IF(AC108="SIM", 0, IFERROR(VLOOKUP(G111,AUXILIAR!AB:AC,2,TRUE),0))
)</f>
        <v>0</v>
      </c>
      <c r="AN111" s="124">
        <f t="shared" si="89"/>
        <v>0</v>
      </c>
      <c r="AO111" s="94">
        <f t="shared" si="109"/>
        <v>0</v>
      </c>
      <c r="AP111" s="94">
        <f t="shared" si="110"/>
        <v>0</v>
      </c>
      <c r="AQ111" s="124">
        <f>IFERROR(INDEX(AUXILIAR!$AG$3:$AG$28,MATCH(G111,AUXILIAR!$AH$3:$AH$28,1))*AM111,0)</f>
        <v>0</v>
      </c>
      <c r="AR111" s="99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1"/>
        <v/>
      </c>
      <c r="AT111" s="89" t="str">
        <f t="shared" si="112"/>
        <v/>
      </c>
      <c r="AU111" s="89" t="str">
        <f t="shared" si="113"/>
        <v/>
      </c>
      <c r="AV111" s="89" t="str">
        <f t="shared" si="114"/>
        <v/>
      </c>
      <c r="AW111" s="89" t="str">
        <f t="shared" si="115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16"/>
        <v>0</v>
      </c>
      <c r="AZ111" s="89">
        <f t="shared" si="117"/>
        <v>0</v>
      </c>
      <c r="BA111" s="116">
        <f t="shared" si="118"/>
        <v>0</v>
      </c>
      <c r="BB111" s="116">
        <f t="shared" si="119"/>
        <v>0</v>
      </c>
      <c r="BC111" s="116">
        <f t="shared" si="120"/>
        <v>0</v>
      </c>
      <c r="BD111" s="116">
        <f t="shared" si="94"/>
        <v>0</v>
      </c>
      <c r="BE111" s="89">
        <f t="shared" si="90"/>
        <v>0</v>
      </c>
      <c r="BF111" s="90">
        <f t="shared" si="91"/>
        <v>0.01</v>
      </c>
      <c r="BG111" s="90">
        <f t="shared" si="92"/>
        <v>3.3333333333333333E-2</v>
      </c>
      <c r="BH111" s="116">
        <f t="shared" si="93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3">
        <v>1200</v>
      </c>
      <c r="L112" s="121" t="str">
        <f t="shared" si="87"/>
        <v>0</v>
      </c>
      <c r="M112" s="122">
        <f t="shared" si="88"/>
        <v>0</v>
      </c>
      <c r="N112" s="90">
        <f t="shared" si="95"/>
        <v>0</v>
      </c>
      <c r="O112" s="123">
        <f>IF(L112="",0,IFERROR(IF($M$2="ESTUDO",BH112,N112)+INDEX(AUXILIAR!$AO$3:$AO$8,MATCH(L112,{0;2;5;10;20;50},1))*1440,IF(M112="ESTUDO",BH112,N112)))</f>
        <v>0</v>
      </c>
      <c r="P112" s="94">
        <f t="shared" si="96"/>
        <v>0</v>
      </c>
      <c r="Q112" s="94">
        <f t="shared" si="97"/>
        <v>0</v>
      </c>
      <c r="R112" s="91" t="s">
        <v>0</v>
      </c>
      <c r="S112" s="88">
        <f t="shared" si="98"/>
        <v>0</v>
      </c>
      <c r="T112" s="94">
        <f>((AM112/(1+AUXILIAR!$BJ$4))-((AM112/(1+AUXILIAR!$BJ$4))*AUXILIAR!$BK$4))-(((AM112/(1+AUXILIAR!$BJ$4))-((AM112/(1+AUXILIAR!$BJ$4))*AUXILIAR!$BK$4))*((AUXILIAR!$BL$4+AUXILIAR!$BM$4)))</f>
        <v>0</v>
      </c>
      <c r="U112" s="94">
        <f>((S112/(1+AUXILIAR!$BJ$7))-((S112/(1+AUXILIAR!$BJ$7))*AUXILIAR!$BK$7))-(((S112/(1+AUXILIAR!$BJ$7))-((S112/(1+AUXILIAR!$BJ$7))*AUXILIAR!$BK$7))*((AUXILIAR!$BL$7+AUXILIAR!$BM$7)))</f>
        <v>0</v>
      </c>
      <c r="V112" s="96">
        <f>AM112-(AM112/(1+AUXILIAR!$BJ$4))</f>
        <v>0</v>
      </c>
      <c r="W112" s="96">
        <f>(AM112-V112)*AUXILIAR!$BK$4</f>
        <v>0</v>
      </c>
      <c r="X112" s="96">
        <f>(AM112-V112-W112)*(AUXILIAR!$BL$4+AUXILIAR!$BM$4)</f>
        <v>0</v>
      </c>
      <c r="Y112" s="96">
        <f>X112-(X112/(1+AUXILIAR!$BJ$7))</f>
        <v>0</v>
      </c>
      <c r="Z112" s="96">
        <f>(S112-Y112)*AUXILIAR!$BK$7</f>
        <v>0</v>
      </c>
      <c r="AA112" s="96">
        <f>(S112-Y112-Z112)*(AUXILIAR!$BL$7+AUXILIAR!$BM$7)</f>
        <v>0</v>
      </c>
      <c r="AB112" s="97">
        <f t="shared" si="99"/>
        <v>0</v>
      </c>
      <c r="AC112" s="97">
        <f t="shared" si="100"/>
        <v>0</v>
      </c>
      <c r="AD112" s="97">
        <f t="shared" si="101"/>
        <v>0</v>
      </c>
      <c r="AE112" s="97">
        <f t="shared" si="102"/>
        <v>0</v>
      </c>
      <c r="AF112" s="97">
        <f t="shared" si="103"/>
        <v>0</v>
      </c>
      <c r="AG112" s="96">
        <f t="shared" si="104"/>
        <v>-1</v>
      </c>
      <c r="AH112" s="94">
        <f t="shared" si="105"/>
        <v>0</v>
      </c>
      <c r="AI112" s="98">
        <f t="shared" si="106"/>
        <v>0</v>
      </c>
      <c r="AJ112" s="94">
        <f t="shared" si="107"/>
        <v>0</v>
      </c>
      <c r="AK112" s="94">
        <f t="shared" si="108"/>
        <v>0</v>
      </c>
      <c r="AL112" s="94">
        <f>AUXILIAR!$BM$12</f>
        <v>1</v>
      </c>
      <c r="AM112" s="94">
        <f>IF($E$2="XADREZ",
     IFERROR(VLOOKUP(G112,AUXILIAR!AB:AC,2,TRUE),0),
     IF(AC109="SIM", 0, IFERROR(VLOOKUP(G112,AUXILIAR!AB:AC,2,TRUE),0))
)</f>
        <v>0</v>
      </c>
      <c r="AN112" s="124">
        <f t="shared" si="89"/>
        <v>0</v>
      </c>
      <c r="AO112" s="94">
        <f t="shared" si="109"/>
        <v>0</v>
      </c>
      <c r="AP112" s="94">
        <f t="shared" si="110"/>
        <v>0</v>
      </c>
      <c r="AQ112" s="124">
        <f>IFERROR(INDEX(AUXILIAR!$AG$3:$AG$28,MATCH(G112,AUXILIAR!$AH$3:$AH$28,1))*AM112,0)</f>
        <v>0</v>
      </c>
      <c r="AR112" s="99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1"/>
        <v/>
      </c>
      <c r="AT112" s="89" t="str">
        <f t="shared" si="112"/>
        <v/>
      </c>
      <c r="AU112" s="89" t="str">
        <f t="shared" si="113"/>
        <v/>
      </c>
      <c r="AV112" s="89" t="str">
        <f t="shared" si="114"/>
        <v/>
      </c>
      <c r="AW112" s="89" t="str">
        <f t="shared" si="115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16"/>
        <v>0</v>
      </c>
      <c r="AZ112" s="89">
        <f t="shared" si="117"/>
        <v>0</v>
      </c>
      <c r="BA112" s="116">
        <f t="shared" si="118"/>
        <v>0</v>
      </c>
      <c r="BB112" s="116">
        <f t="shared" si="119"/>
        <v>0</v>
      </c>
      <c r="BC112" s="116">
        <f t="shared" si="120"/>
        <v>0</v>
      </c>
      <c r="BD112" s="116">
        <f t="shared" si="94"/>
        <v>0</v>
      </c>
      <c r="BE112" s="89">
        <f t="shared" si="90"/>
        <v>0</v>
      </c>
      <c r="BF112" s="90">
        <f t="shared" si="91"/>
        <v>0.01</v>
      </c>
      <c r="BG112" s="90">
        <f t="shared" si="92"/>
        <v>3.3333333333333333E-2</v>
      </c>
      <c r="BH112" s="116">
        <f t="shared" si="93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3">
        <v>1200</v>
      </c>
      <c r="L113" s="121" t="str">
        <f t="shared" si="87"/>
        <v>0</v>
      </c>
      <c r="M113" s="122">
        <f t="shared" si="88"/>
        <v>0</v>
      </c>
      <c r="N113" s="90">
        <f t="shared" si="95"/>
        <v>0</v>
      </c>
      <c r="O113" s="123">
        <f>IF(L113="",0,IFERROR(IF($M$2="ESTUDO",BH113,N113)+INDEX(AUXILIAR!$AO$3:$AO$8,MATCH(L113,{0;2;5;10;20;50},1))*1440,IF(M113="ESTUDO",BH113,N113)))</f>
        <v>0</v>
      </c>
      <c r="P113" s="94">
        <f t="shared" si="96"/>
        <v>0</v>
      </c>
      <c r="Q113" s="94">
        <f t="shared" si="97"/>
        <v>0</v>
      </c>
      <c r="R113" s="91" t="s">
        <v>0</v>
      </c>
      <c r="S113" s="88">
        <f t="shared" si="98"/>
        <v>0</v>
      </c>
      <c r="T113" s="94">
        <f>((AM113/(1+AUXILIAR!$BJ$4))-((AM113/(1+AUXILIAR!$BJ$4))*AUXILIAR!$BK$4))-(((AM113/(1+AUXILIAR!$BJ$4))-((AM113/(1+AUXILIAR!$BJ$4))*AUXILIAR!$BK$4))*((AUXILIAR!$BL$4+AUXILIAR!$BM$4)))</f>
        <v>0</v>
      </c>
      <c r="U113" s="94">
        <f>((S113/(1+AUXILIAR!$BJ$7))-((S113/(1+AUXILIAR!$BJ$7))*AUXILIAR!$BK$7))-(((S113/(1+AUXILIAR!$BJ$7))-((S113/(1+AUXILIAR!$BJ$7))*AUXILIAR!$BK$7))*((AUXILIAR!$BL$7+AUXILIAR!$BM$7)))</f>
        <v>0</v>
      </c>
      <c r="V113" s="96">
        <f>AM113-(AM113/(1+AUXILIAR!$BJ$4))</f>
        <v>0</v>
      </c>
      <c r="W113" s="96">
        <f>(AM113-V113)*AUXILIAR!$BK$4</f>
        <v>0</v>
      </c>
      <c r="X113" s="96">
        <f>(AM113-V113-W113)*(AUXILIAR!$BL$4+AUXILIAR!$BM$4)</f>
        <v>0</v>
      </c>
      <c r="Y113" s="96">
        <f>X113-(X113/(1+AUXILIAR!$BJ$7))</f>
        <v>0</v>
      </c>
      <c r="Z113" s="96">
        <f>(S113-Y113)*AUXILIAR!$BK$7</f>
        <v>0</v>
      </c>
      <c r="AA113" s="96">
        <f>(S113-Y113-Z113)*(AUXILIAR!$BL$7+AUXILIAR!$BM$7)</f>
        <v>0</v>
      </c>
      <c r="AB113" s="97">
        <f t="shared" si="99"/>
        <v>0</v>
      </c>
      <c r="AC113" s="97">
        <f t="shared" si="100"/>
        <v>0</v>
      </c>
      <c r="AD113" s="97">
        <f t="shared" si="101"/>
        <v>0</v>
      </c>
      <c r="AE113" s="97">
        <f t="shared" si="102"/>
        <v>0</v>
      </c>
      <c r="AF113" s="97">
        <f t="shared" si="103"/>
        <v>0</v>
      </c>
      <c r="AG113" s="96">
        <f t="shared" si="104"/>
        <v>-1</v>
      </c>
      <c r="AH113" s="94">
        <f t="shared" si="105"/>
        <v>0</v>
      </c>
      <c r="AI113" s="98">
        <f t="shared" si="106"/>
        <v>0</v>
      </c>
      <c r="AJ113" s="94">
        <f t="shared" si="107"/>
        <v>0</v>
      </c>
      <c r="AK113" s="94">
        <f t="shared" si="108"/>
        <v>0</v>
      </c>
      <c r="AL113" s="94">
        <f>AUXILIAR!$BM$12</f>
        <v>1</v>
      </c>
      <c r="AM113" s="94">
        <f>IF($E$2="XADREZ",
     IFERROR(VLOOKUP(G113,AUXILIAR!AB:AC,2,TRUE),0),
     IF(AC110="SIM", 0, IFERROR(VLOOKUP(G113,AUXILIAR!AB:AC,2,TRUE),0))
)</f>
        <v>0</v>
      </c>
      <c r="AN113" s="124">
        <f t="shared" si="89"/>
        <v>0</v>
      </c>
      <c r="AO113" s="94">
        <f t="shared" si="109"/>
        <v>0</v>
      </c>
      <c r="AP113" s="94">
        <f t="shared" si="110"/>
        <v>0</v>
      </c>
      <c r="AQ113" s="124">
        <f>IFERROR(INDEX(AUXILIAR!$AG$3:$AG$28,MATCH(G113,AUXILIAR!$AH$3:$AH$28,1))*AM113,0)</f>
        <v>0</v>
      </c>
      <c r="AR113" s="99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1"/>
        <v/>
      </c>
      <c r="AT113" s="89" t="str">
        <f t="shared" si="112"/>
        <v/>
      </c>
      <c r="AU113" s="89" t="str">
        <f t="shared" si="113"/>
        <v/>
      </c>
      <c r="AV113" s="89" t="str">
        <f t="shared" si="114"/>
        <v/>
      </c>
      <c r="AW113" s="89" t="str">
        <f t="shared" si="115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16"/>
        <v>0</v>
      </c>
      <c r="AZ113" s="89">
        <f t="shared" si="117"/>
        <v>0</v>
      </c>
      <c r="BA113" s="116">
        <f t="shared" si="118"/>
        <v>0</v>
      </c>
      <c r="BB113" s="116">
        <f t="shared" si="119"/>
        <v>0</v>
      </c>
      <c r="BC113" s="116">
        <f t="shared" si="120"/>
        <v>0</v>
      </c>
      <c r="BD113" s="116">
        <f t="shared" si="94"/>
        <v>0</v>
      </c>
      <c r="BE113" s="89">
        <f t="shared" si="90"/>
        <v>0</v>
      </c>
      <c r="BF113" s="90">
        <f t="shared" si="91"/>
        <v>0.01</v>
      </c>
      <c r="BG113" s="90">
        <f t="shared" si="92"/>
        <v>3.3333333333333333E-2</v>
      </c>
      <c r="BH113" s="116">
        <f t="shared" si="93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3">
        <v>1200</v>
      </c>
      <c r="L114" s="121" t="str">
        <f t="shared" si="87"/>
        <v>0</v>
      </c>
      <c r="M114" s="122">
        <f t="shared" si="88"/>
        <v>0</v>
      </c>
      <c r="N114" s="90">
        <f t="shared" si="95"/>
        <v>0</v>
      </c>
      <c r="O114" s="123">
        <f>IF(L114="",0,IFERROR(IF($M$2="ESTUDO",BH114,N114)+INDEX(AUXILIAR!$AO$3:$AO$8,MATCH(L114,{0;2;5;10;20;50},1))*1440,IF(M114="ESTUDO",BH114,N114)))</f>
        <v>0</v>
      </c>
      <c r="P114" s="94">
        <f t="shared" si="96"/>
        <v>0</v>
      </c>
      <c r="Q114" s="94">
        <f t="shared" si="97"/>
        <v>0</v>
      </c>
      <c r="R114" s="91" t="s">
        <v>0</v>
      </c>
      <c r="S114" s="88">
        <f t="shared" si="98"/>
        <v>0</v>
      </c>
      <c r="T114" s="94">
        <f>((AM114/(1+AUXILIAR!$BJ$4))-((AM114/(1+AUXILIAR!$BJ$4))*AUXILIAR!$BK$4))-(((AM114/(1+AUXILIAR!$BJ$4))-((AM114/(1+AUXILIAR!$BJ$4))*AUXILIAR!$BK$4))*((AUXILIAR!$BL$4+AUXILIAR!$BM$4)))</f>
        <v>0</v>
      </c>
      <c r="U114" s="94">
        <f>((S114/(1+AUXILIAR!$BJ$7))-((S114/(1+AUXILIAR!$BJ$7))*AUXILIAR!$BK$7))-(((S114/(1+AUXILIAR!$BJ$7))-((S114/(1+AUXILIAR!$BJ$7))*AUXILIAR!$BK$7))*((AUXILIAR!$BL$7+AUXILIAR!$BM$7)))</f>
        <v>0</v>
      </c>
      <c r="V114" s="96">
        <f>AM114-(AM114/(1+AUXILIAR!$BJ$4))</f>
        <v>0</v>
      </c>
      <c r="W114" s="96">
        <f>(AM114-V114)*AUXILIAR!$BK$4</f>
        <v>0</v>
      </c>
      <c r="X114" s="96">
        <f>(AM114-V114-W114)*(AUXILIAR!$BL$4+AUXILIAR!$BM$4)</f>
        <v>0</v>
      </c>
      <c r="Y114" s="96">
        <f>X114-(X114/(1+AUXILIAR!$BJ$7))</f>
        <v>0</v>
      </c>
      <c r="Z114" s="96">
        <f>(S114-Y114)*AUXILIAR!$BK$7</f>
        <v>0</v>
      </c>
      <c r="AA114" s="96">
        <f>(S114-Y114-Z114)*(AUXILIAR!$BL$7+AUXILIAR!$BM$7)</f>
        <v>0</v>
      </c>
      <c r="AB114" s="97">
        <f t="shared" si="99"/>
        <v>0</v>
      </c>
      <c r="AC114" s="97">
        <f t="shared" si="100"/>
        <v>0</v>
      </c>
      <c r="AD114" s="97">
        <f t="shared" si="101"/>
        <v>0</v>
      </c>
      <c r="AE114" s="97">
        <f t="shared" si="102"/>
        <v>0</v>
      </c>
      <c r="AF114" s="97">
        <f t="shared" si="103"/>
        <v>0</v>
      </c>
      <c r="AG114" s="96">
        <f t="shared" si="104"/>
        <v>-1</v>
      </c>
      <c r="AH114" s="94">
        <f t="shared" si="105"/>
        <v>0</v>
      </c>
      <c r="AI114" s="98">
        <f t="shared" si="106"/>
        <v>0</v>
      </c>
      <c r="AJ114" s="94">
        <f t="shared" si="107"/>
        <v>0</v>
      </c>
      <c r="AK114" s="94">
        <f t="shared" si="108"/>
        <v>0</v>
      </c>
      <c r="AL114" s="94">
        <f>AUXILIAR!$BM$12</f>
        <v>1</v>
      </c>
      <c r="AM114" s="94">
        <f>IF($E$2="XADREZ",
     IFERROR(VLOOKUP(G114,AUXILIAR!AB:AC,2,TRUE),0),
     IF(AC111="SIM", 0, IFERROR(VLOOKUP(G114,AUXILIAR!AB:AC,2,TRUE),0))
)</f>
        <v>0</v>
      </c>
      <c r="AN114" s="124">
        <f t="shared" si="89"/>
        <v>0</v>
      </c>
      <c r="AO114" s="94">
        <f t="shared" si="109"/>
        <v>0</v>
      </c>
      <c r="AP114" s="94">
        <f t="shared" si="110"/>
        <v>0</v>
      </c>
      <c r="AQ114" s="124">
        <f>IFERROR(INDEX(AUXILIAR!$AG$3:$AG$28,MATCH(G114,AUXILIAR!$AH$3:$AH$28,1))*AM114,0)</f>
        <v>0</v>
      </c>
      <c r="AR114" s="99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1"/>
        <v/>
      </c>
      <c r="AT114" s="89" t="str">
        <f t="shared" si="112"/>
        <v/>
      </c>
      <c r="AU114" s="89" t="str">
        <f t="shared" si="113"/>
        <v/>
      </c>
      <c r="AV114" s="89" t="str">
        <f t="shared" si="114"/>
        <v/>
      </c>
      <c r="AW114" s="89" t="str">
        <f t="shared" si="115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16"/>
        <v>0</v>
      </c>
      <c r="AZ114" s="89">
        <f t="shared" si="117"/>
        <v>0</v>
      </c>
      <c r="BA114" s="116">
        <f t="shared" si="118"/>
        <v>0</v>
      </c>
      <c r="BB114" s="116">
        <f t="shared" si="119"/>
        <v>0</v>
      </c>
      <c r="BC114" s="116">
        <f t="shared" si="120"/>
        <v>0</v>
      </c>
      <c r="BD114" s="116">
        <f t="shared" si="94"/>
        <v>0</v>
      </c>
      <c r="BE114" s="89">
        <f t="shared" si="90"/>
        <v>0</v>
      </c>
      <c r="BF114" s="90">
        <f t="shared" si="91"/>
        <v>0.01</v>
      </c>
      <c r="BG114" s="90">
        <f t="shared" si="92"/>
        <v>3.3333333333333333E-2</v>
      </c>
      <c r="BH114" s="116">
        <f t="shared" si="93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3">
        <v>1200</v>
      </c>
      <c r="L115" s="121" t="str">
        <f t="shared" si="87"/>
        <v>0</v>
      </c>
      <c r="M115" s="122">
        <f t="shared" si="88"/>
        <v>0</v>
      </c>
      <c r="N115" s="90">
        <f t="shared" si="95"/>
        <v>0</v>
      </c>
      <c r="O115" s="123">
        <f>IF(L115="",0,IFERROR(IF($M$2="ESTUDO",BH115,N115)+INDEX(AUXILIAR!$AO$3:$AO$8,MATCH(L115,{0;2;5;10;20;50},1))*1440,IF(M115="ESTUDO",BH115,N115)))</f>
        <v>0</v>
      </c>
      <c r="P115" s="94">
        <f t="shared" si="96"/>
        <v>0</v>
      </c>
      <c r="Q115" s="94">
        <f t="shared" si="97"/>
        <v>0</v>
      </c>
      <c r="R115" s="91" t="s">
        <v>0</v>
      </c>
      <c r="S115" s="88">
        <f t="shared" si="98"/>
        <v>0</v>
      </c>
      <c r="T115" s="94">
        <f>((AM115/(1+AUXILIAR!$BJ$4))-((AM115/(1+AUXILIAR!$BJ$4))*AUXILIAR!$BK$4))-(((AM115/(1+AUXILIAR!$BJ$4))-((AM115/(1+AUXILIAR!$BJ$4))*AUXILIAR!$BK$4))*((AUXILIAR!$BL$4+AUXILIAR!$BM$4)))</f>
        <v>0</v>
      </c>
      <c r="U115" s="94">
        <f>((S115/(1+AUXILIAR!$BJ$7))-((S115/(1+AUXILIAR!$BJ$7))*AUXILIAR!$BK$7))-(((S115/(1+AUXILIAR!$BJ$7))-((S115/(1+AUXILIAR!$BJ$7))*AUXILIAR!$BK$7))*((AUXILIAR!$BL$7+AUXILIAR!$BM$7)))</f>
        <v>0</v>
      </c>
      <c r="V115" s="96">
        <f>AM115-(AM115/(1+AUXILIAR!$BJ$4))</f>
        <v>0</v>
      </c>
      <c r="W115" s="96">
        <f>(AM115-V115)*AUXILIAR!$BK$4</f>
        <v>0</v>
      </c>
      <c r="X115" s="96">
        <f>(AM115-V115-W115)*(AUXILIAR!$BL$4+AUXILIAR!$BM$4)</f>
        <v>0</v>
      </c>
      <c r="Y115" s="96">
        <f>X115-(X115/(1+AUXILIAR!$BJ$7))</f>
        <v>0</v>
      </c>
      <c r="Z115" s="96">
        <f>(S115-Y115)*AUXILIAR!$BK$7</f>
        <v>0</v>
      </c>
      <c r="AA115" s="96">
        <f>(S115-Y115-Z115)*(AUXILIAR!$BL$7+AUXILIAR!$BM$7)</f>
        <v>0</v>
      </c>
      <c r="AB115" s="97">
        <f t="shared" si="99"/>
        <v>0</v>
      </c>
      <c r="AC115" s="97">
        <f t="shared" si="100"/>
        <v>0</v>
      </c>
      <c r="AD115" s="97">
        <f t="shared" si="101"/>
        <v>0</v>
      </c>
      <c r="AE115" s="97">
        <f t="shared" si="102"/>
        <v>0</v>
      </c>
      <c r="AF115" s="97">
        <f t="shared" si="103"/>
        <v>0</v>
      </c>
      <c r="AG115" s="96">
        <f t="shared" si="104"/>
        <v>-1</v>
      </c>
      <c r="AH115" s="94">
        <f t="shared" si="105"/>
        <v>0</v>
      </c>
      <c r="AI115" s="98">
        <f t="shared" si="106"/>
        <v>0</v>
      </c>
      <c r="AJ115" s="94">
        <f t="shared" si="107"/>
        <v>0</v>
      </c>
      <c r="AK115" s="94">
        <f t="shared" si="108"/>
        <v>0</v>
      </c>
      <c r="AL115" s="94">
        <f>AUXILIAR!$BM$12</f>
        <v>1</v>
      </c>
      <c r="AM115" s="94">
        <f>IF($E$2="XADREZ",
     IFERROR(VLOOKUP(G115,AUXILIAR!AB:AC,2,TRUE),0),
     IF(AC112="SIM", 0, IFERROR(VLOOKUP(G115,AUXILIAR!AB:AC,2,TRUE),0))
)</f>
        <v>0</v>
      </c>
      <c r="AN115" s="124">
        <f t="shared" si="89"/>
        <v>0</v>
      </c>
      <c r="AO115" s="94">
        <f t="shared" si="109"/>
        <v>0</v>
      </c>
      <c r="AP115" s="94">
        <f t="shared" si="110"/>
        <v>0</v>
      </c>
      <c r="AQ115" s="124">
        <f>IFERROR(INDEX(AUXILIAR!$AG$3:$AG$28,MATCH(G115,AUXILIAR!$AH$3:$AH$28,1))*AM115,0)</f>
        <v>0</v>
      </c>
      <c r="AR115" s="99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1"/>
        <v/>
      </c>
      <c r="AT115" s="89" t="str">
        <f t="shared" si="112"/>
        <v/>
      </c>
      <c r="AU115" s="89" t="str">
        <f t="shared" si="113"/>
        <v/>
      </c>
      <c r="AV115" s="89" t="str">
        <f t="shared" si="114"/>
        <v/>
      </c>
      <c r="AW115" s="89" t="str">
        <f t="shared" si="115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16"/>
        <v>0</v>
      </c>
      <c r="AZ115" s="89">
        <f t="shared" si="117"/>
        <v>0</v>
      </c>
      <c r="BA115" s="116">
        <f t="shared" si="118"/>
        <v>0</v>
      </c>
      <c r="BB115" s="116">
        <f t="shared" si="119"/>
        <v>0</v>
      </c>
      <c r="BC115" s="116">
        <f t="shared" si="120"/>
        <v>0</v>
      </c>
      <c r="BD115" s="116">
        <f t="shared" si="94"/>
        <v>0</v>
      </c>
      <c r="BE115" s="89">
        <f t="shared" si="90"/>
        <v>0</v>
      </c>
      <c r="BF115" s="90">
        <f t="shared" si="91"/>
        <v>0.01</v>
      </c>
      <c r="BG115" s="90">
        <f t="shared" si="92"/>
        <v>3.3333333333333333E-2</v>
      </c>
      <c r="BH115" s="116">
        <f t="shared" si="93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3">
        <v>1200</v>
      </c>
      <c r="L116" s="121" t="str">
        <f t="shared" si="87"/>
        <v>0</v>
      </c>
      <c r="M116" s="122">
        <f t="shared" si="88"/>
        <v>0</v>
      </c>
      <c r="N116" s="90">
        <f t="shared" si="95"/>
        <v>0</v>
      </c>
      <c r="O116" s="123">
        <f>IF(L116="",0,IFERROR(IF($M$2="ESTUDO",BH116,N116)+INDEX(AUXILIAR!$AO$3:$AO$8,MATCH(L116,{0;2;5;10;20;50},1))*1440,IF(M116="ESTUDO",BH116,N116)))</f>
        <v>0</v>
      </c>
      <c r="P116" s="94">
        <f t="shared" si="96"/>
        <v>0</v>
      </c>
      <c r="Q116" s="94">
        <f t="shared" si="97"/>
        <v>0</v>
      </c>
      <c r="R116" s="91" t="s">
        <v>0</v>
      </c>
      <c r="S116" s="88">
        <f t="shared" si="98"/>
        <v>0</v>
      </c>
      <c r="T116" s="94">
        <f>((AM116/(1+AUXILIAR!$BJ$4))-((AM116/(1+AUXILIAR!$BJ$4))*AUXILIAR!$BK$4))-(((AM116/(1+AUXILIAR!$BJ$4))-((AM116/(1+AUXILIAR!$BJ$4))*AUXILIAR!$BK$4))*((AUXILIAR!$BL$4+AUXILIAR!$BM$4)))</f>
        <v>0</v>
      </c>
      <c r="U116" s="94">
        <f>((S116/(1+AUXILIAR!$BJ$7))-((S116/(1+AUXILIAR!$BJ$7))*AUXILIAR!$BK$7))-(((S116/(1+AUXILIAR!$BJ$7))-((S116/(1+AUXILIAR!$BJ$7))*AUXILIAR!$BK$7))*((AUXILIAR!$BL$7+AUXILIAR!$BM$7)))</f>
        <v>0</v>
      </c>
      <c r="V116" s="96">
        <f>AM116-(AM116/(1+AUXILIAR!$BJ$4))</f>
        <v>0</v>
      </c>
      <c r="W116" s="96">
        <f>(AM116-V116)*AUXILIAR!$BK$4</f>
        <v>0</v>
      </c>
      <c r="X116" s="96">
        <f>(AM116-V116-W116)*(AUXILIAR!$BL$4+AUXILIAR!$BM$4)</f>
        <v>0</v>
      </c>
      <c r="Y116" s="96">
        <f>X116-(X116/(1+AUXILIAR!$BJ$7))</f>
        <v>0</v>
      </c>
      <c r="Z116" s="96">
        <f>(S116-Y116)*AUXILIAR!$BK$7</f>
        <v>0</v>
      </c>
      <c r="AA116" s="96">
        <f>(S116-Y116-Z116)*(AUXILIAR!$BL$7+AUXILIAR!$BM$7)</f>
        <v>0</v>
      </c>
      <c r="AB116" s="97">
        <f t="shared" si="99"/>
        <v>0</v>
      </c>
      <c r="AC116" s="97">
        <f t="shared" si="100"/>
        <v>0</v>
      </c>
      <c r="AD116" s="97">
        <f t="shared" si="101"/>
        <v>0</v>
      </c>
      <c r="AE116" s="97">
        <f t="shared" si="102"/>
        <v>0</v>
      </c>
      <c r="AF116" s="97">
        <f t="shared" si="103"/>
        <v>0</v>
      </c>
      <c r="AG116" s="96">
        <f t="shared" si="104"/>
        <v>-1</v>
      </c>
      <c r="AH116" s="94">
        <f t="shared" si="105"/>
        <v>0</v>
      </c>
      <c r="AI116" s="98">
        <f t="shared" si="106"/>
        <v>0</v>
      </c>
      <c r="AJ116" s="94">
        <f t="shared" si="107"/>
        <v>0</v>
      </c>
      <c r="AK116" s="94">
        <f t="shared" si="108"/>
        <v>0</v>
      </c>
      <c r="AL116" s="94">
        <f>AUXILIAR!$BM$12</f>
        <v>1</v>
      </c>
      <c r="AM116" s="94">
        <f>IF($E$2="XADREZ",
     IFERROR(VLOOKUP(G116,AUXILIAR!AB:AC,2,TRUE),0),
     IF(AC113="SIM", 0, IFERROR(VLOOKUP(G116,AUXILIAR!AB:AC,2,TRUE),0))
)</f>
        <v>0</v>
      </c>
      <c r="AN116" s="124">
        <f t="shared" si="89"/>
        <v>0</v>
      </c>
      <c r="AO116" s="94">
        <f t="shared" si="109"/>
        <v>0</v>
      </c>
      <c r="AP116" s="94">
        <f t="shared" si="110"/>
        <v>0</v>
      </c>
      <c r="AQ116" s="124">
        <f>IFERROR(INDEX(AUXILIAR!$AG$3:$AG$28,MATCH(G116,AUXILIAR!$AH$3:$AH$28,1))*AM116,0)</f>
        <v>0</v>
      </c>
      <c r="AR116" s="99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1"/>
        <v/>
      </c>
      <c r="AT116" s="89" t="str">
        <f t="shared" si="112"/>
        <v/>
      </c>
      <c r="AU116" s="89" t="str">
        <f t="shared" si="113"/>
        <v/>
      </c>
      <c r="AV116" s="89" t="str">
        <f t="shared" si="114"/>
        <v/>
      </c>
      <c r="AW116" s="89" t="str">
        <f t="shared" si="115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16"/>
        <v>0</v>
      </c>
      <c r="AZ116" s="89">
        <f t="shared" si="117"/>
        <v>0</v>
      </c>
      <c r="BA116" s="116">
        <f t="shared" si="118"/>
        <v>0</v>
      </c>
      <c r="BB116" s="116">
        <f t="shared" si="119"/>
        <v>0</v>
      </c>
      <c r="BC116" s="116">
        <f t="shared" si="120"/>
        <v>0</v>
      </c>
      <c r="BD116" s="116">
        <f t="shared" si="94"/>
        <v>0</v>
      </c>
      <c r="BE116" s="89">
        <f t="shared" si="90"/>
        <v>0</v>
      </c>
      <c r="BF116" s="90">
        <f t="shared" si="91"/>
        <v>0.01</v>
      </c>
      <c r="BG116" s="90">
        <f t="shared" si="92"/>
        <v>3.3333333333333333E-2</v>
      </c>
      <c r="BH116" s="116">
        <f t="shared" si="93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3">
        <v>1200</v>
      </c>
      <c r="L117" s="121" t="str">
        <f t="shared" si="87"/>
        <v>0</v>
      </c>
      <c r="M117" s="122">
        <f t="shared" si="88"/>
        <v>0</v>
      </c>
      <c r="N117" s="90">
        <f t="shared" si="95"/>
        <v>0</v>
      </c>
      <c r="O117" s="123">
        <f>IF(L117="",0,IFERROR(IF($M$2="ESTUDO",BH117,N117)+INDEX(AUXILIAR!$AO$3:$AO$8,MATCH(L117,{0;2;5;10;20;50},1))*1440,IF(M117="ESTUDO",BH117,N117)))</f>
        <v>0</v>
      </c>
      <c r="P117" s="94">
        <f t="shared" si="96"/>
        <v>0</v>
      </c>
      <c r="Q117" s="94">
        <f t="shared" si="97"/>
        <v>0</v>
      </c>
      <c r="R117" s="91" t="s">
        <v>0</v>
      </c>
      <c r="S117" s="88">
        <f t="shared" si="98"/>
        <v>0</v>
      </c>
      <c r="T117" s="94">
        <f>((AM117/(1+AUXILIAR!$BJ$4))-((AM117/(1+AUXILIAR!$BJ$4))*AUXILIAR!$BK$4))-(((AM117/(1+AUXILIAR!$BJ$4))-((AM117/(1+AUXILIAR!$BJ$4))*AUXILIAR!$BK$4))*((AUXILIAR!$BL$4+AUXILIAR!$BM$4)))</f>
        <v>0</v>
      </c>
      <c r="U117" s="94">
        <f>((S117/(1+AUXILIAR!$BJ$7))-((S117/(1+AUXILIAR!$BJ$7))*AUXILIAR!$BK$7))-(((S117/(1+AUXILIAR!$BJ$7))-((S117/(1+AUXILIAR!$BJ$7))*AUXILIAR!$BK$7))*((AUXILIAR!$BL$7+AUXILIAR!$BM$7)))</f>
        <v>0</v>
      </c>
      <c r="V117" s="96">
        <f>AM117-(AM117/(1+AUXILIAR!$BJ$4))</f>
        <v>0</v>
      </c>
      <c r="W117" s="96">
        <f>(AM117-V117)*AUXILIAR!$BK$4</f>
        <v>0</v>
      </c>
      <c r="X117" s="96">
        <f>(AM117-V117-W117)*(AUXILIAR!$BL$4+AUXILIAR!$BM$4)</f>
        <v>0</v>
      </c>
      <c r="Y117" s="96">
        <f>X117-(X117/(1+AUXILIAR!$BJ$7))</f>
        <v>0</v>
      </c>
      <c r="Z117" s="96">
        <f>(S117-Y117)*AUXILIAR!$BK$7</f>
        <v>0</v>
      </c>
      <c r="AA117" s="96">
        <f>(S117-Y117-Z117)*(AUXILIAR!$BL$7+AUXILIAR!$BM$7)</f>
        <v>0</v>
      </c>
      <c r="AB117" s="97">
        <f t="shared" si="99"/>
        <v>0</v>
      </c>
      <c r="AC117" s="97">
        <f t="shared" si="100"/>
        <v>0</v>
      </c>
      <c r="AD117" s="97">
        <f t="shared" si="101"/>
        <v>0</v>
      </c>
      <c r="AE117" s="97">
        <f t="shared" si="102"/>
        <v>0</v>
      </c>
      <c r="AF117" s="97">
        <f t="shared" si="103"/>
        <v>0</v>
      </c>
      <c r="AG117" s="96">
        <f t="shared" si="104"/>
        <v>-1</v>
      </c>
      <c r="AH117" s="94">
        <f t="shared" si="105"/>
        <v>0</v>
      </c>
      <c r="AI117" s="98">
        <f t="shared" si="106"/>
        <v>0</v>
      </c>
      <c r="AJ117" s="94">
        <f t="shared" si="107"/>
        <v>0</v>
      </c>
      <c r="AK117" s="94">
        <f t="shared" si="108"/>
        <v>0</v>
      </c>
      <c r="AL117" s="94">
        <f>AUXILIAR!$BM$12</f>
        <v>1</v>
      </c>
      <c r="AM117" s="94">
        <f>IF($E$2="XADREZ",
     IFERROR(VLOOKUP(G117,AUXILIAR!AB:AC,2,TRUE),0),
     IF(AC114="SIM", 0, IFERROR(VLOOKUP(G117,AUXILIAR!AB:AC,2,TRUE),0))
)</f>
        <v>0</v>
      </c>
      <c r="AN117" s="124">
        <f t="shared" si="89"/>
        <v>0</v>
      </c>
      <c r="AO117" s="94">
        <f t="shared" si="109"/>
        <v>0</v>
      </c>
      <c r="AP117" s="94">
        <f t="shared" si="110"/>
        <v>0</v>
      </c>
      <c r="AQ117" s="124">
        <f>IFERROR(INDEX(AUXILIAR!$AG$3:$AG$28,MATCH(G117,AUXILIAR!$AH$3:$AH$28,1))*AM117,0)</f>
        <v>0</v>
      </c>
      <c r="AR117" s="99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1"/>
        <v/>
      </c>
      <c r="AT117" s="89" t="str">
        <f t="shared" si="112"/>
        <v/>
      </c>
      <c r="AU117" s="89" t="str">
        <f t="shared" si="113"/>
        <v/>
      </c>
      <c r="AV117" s="89" t="str">
        <f t="shared" si="114"/>
        <v/>
      </c>
      <c r="AW117" s="89" t="str">
        <f t="shared" si="115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16"/>
        <v>0</v>
      </c>
      <c r="AZ117" s="89">
        <f t="shared" si="117"/>
        <v>0</v>
      </c>
      <c r="BA117" s="116">
        <f t="shared" si="118"/>
        <v>0</v>
      </c>
      <c r="BB117" s="116">
        <f t="shared" si="119"/>
        <v>0</v>
      </c>
      <c r="BC117" s="116">
        <f t="shared" si="120"/>
        <v>0</v>
      </c>
      <c r="BD117" s="116">
        <f t="shared" si="94"/>
        <v>0</v>
      </c>
      <c r="BE117" s="89">
        <f t="shared" si="90"/>
        <v>0</v>
      </c>
      <c r="BF117" s="90">
        <f t="shared" si="91"/>
        <v>0.01</v>
      </c>
      <c r="BG117" s="90">
        <f t="shared" si="92"/>
        <v>3.3333333333333333E-2</v>
      </c>
      <c r="BH117" s="116">
        <f t="shared" si="93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3">
        <v>1200</v>
      </c>
      <c r="L118" s="121" t="str">
        <f t="shared" si="87"/>
        <v>0</v>
      </c>
      <c r="M118" s="122">
        <f t="shared" si="88"/>
        <v>0</v>
      </c>
      <c r="N118" s="90">
        <f t="shared" si="95"/>
        <v>0</v>
      </c>
      <c r="O118" s="123">
        <f>IF(L118="",0,IFERROR(IF($M$2="ESTUDO",BH118,N118)+INDEX(AUXILIAR!$AO$3:$AO$8,MATCH(L118,{0;2;5;10;20;50},1))*1440,IF(M118="ESTUDO",BH118,N118)))</f>
        <v>0</v>
      </c>
      <c r="P118" s="94">
        <f t="shared" si="96"/>
        <v>0</v>
      </c>
      <c r="Q118" s="94">
        <f t="shared" si="97"/>
        <v>0</v>
      </c>
      <c r="R118" s="91" t="s">
        <v>0</v>
      </c>
      <c r="S118" s="88">
        <f t="shared" si="98"/>
        <v>0</v>
      </c>
      <c r="T118" s="94">
        <f>((AM118/(1+AUXILIAR!$BJ$4))-((AM118/(1+AUXILIAR!$BJ$4))*AUXILIAR!$BK$4))-(((AM118/(1+AUXILIAR!$BJ$4))-((AM118/(1+AUXILIAR!$BJ$4))*AUXILIAR!$BK$4))*((AUXILIAR!$BL$4+AUXILIAR!$BM$4)))</f>
        <v>0</v>
      </c>
      <c r="U118" s="94">
        <f>((S118/(1+AUXILIAR!$BJ$7))-((S118/(1+AUXILIAR!$BJ$7))*AUXILIAR!$BK$7))-(((S118/(1+AUXILIAR!$BJ$7))-((S118/(1+AUXILIAR!$BJ$7))*AUXILIAR!$BK$7))*((AUXILIAR!$BL$7+AUXILIAR!$BM$7)))</f>
        <v>0</v>
      </c>
      <c r="V118" s="96">
        <f>AM118-(AM118/(1+AUXILIAR!$BJ$4))</f>
        <v>0</v>
      </c>
      <c r="W118" s="96">
        <f>(AM118-V118)*AUXILIAR!$BK$4</f>
        <v>0</v>
      </c>
      <c r="X118" s="96">
        <f>(AM118-V118-W118)*(AUXILIAR!$BL$4+AUXILIAR!$BM$4)</f>
        <v>0</v>
      </c>
      <c r="Y118" s="96">
        <f>X118-(X118/(1+AUXILIAR!$BJ$7))</f>
        <v>0</v>
      </c>
      <c r="Z118" s="96">
        <f>(S118-Y118)*AUXILIAR!$BK$7</f>
        <v>0</v>
      </c>
      <c r="AA118" s="96">
        <f>(S118-Y118-Z118)*(AUXILIAR!$BL$7+AUXILIAR!$BM$7)</f>
        <v>0</v>
      </c>
      <c r="AB118" s="97">
        <f t="shared" si="99"/>
        <v>0</v>
      </c>
      <c r="AC118" s="97">
        <f t="shared" si="100"/>
        <v>0</v>
      </c>
      <c r="AD118" s="97">
        <f t="shared" si="101"/>
        <v>0</v>
      </c>
      <c r="AE118" s="97">
        <f t="shared" si="102"/>
        <v>0</v>
      </c>
      <c r="AF118" s="97">
        <f t="shared" si="103"/>
        <v>0</v>
      </c>
      <c r="AG118" s="96">
        <f t="shared" si="104"/>
        <v>-1</v>
      </c>
      <c r="AH118" s="94">
        <f t="shared" si="105"/>
        <v>0</v>
      </c>
      <c r="AI118" s="98">
        <f t="shared" si="106"/>
        <v>0</v>
      </c>
      <c r="AJ118" s="94">
        <f t="shared" si="107"/>
        <v>0</v>
      </c>
      <c r="AK118" s="94">
        <f t="shared" si="108"/>
        <v>0</v>
      </c>
      <c r="AL118" s="94">
        <f>AUXILIAR!$BM$12</f>
        <v>1</v>
      </c>
      <c r="AM118" s="94">
        <f>IF($E$2="XADREZ",
     IFERROR(VLOOKUP(G118,AUXILIAR!AB:AC,2,TRUE),0),
     IF(AC115="SIM", 0, IFERROR(VLOOKUP(G118,AUXILIAR!AB:AC,2,TRUE),0))
)</f>
        <v>0</v>
      </c>
      <c r="AN118" s="124">
        <f t="shared" si="89"/>
        <v>0</v>
      </c>
      <c r="AO118" s="94">
        <f t="shared" si="109"/>
        <v>0</v>
      </c>
      <c r="AP118" s="94">
        <f t="shared" si="110"/>
        <v>0</v>
      </c>
      <c r="AQ118" s="124">
        <f>IFERROR(INDEX(AUXILIAR!$AG$3:$AG$28,MATCH(G118,AUXILIAR!$AH$3:$AH$28,1))*AM118,0)</f>
        <v>0</v>
      </c>
      <c r="AR118" s="99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1"/>
        <v/>
      </c>
      <c r="AT118" s="89" t="str">
        <f t="shared" si="112"/>
        <v/>
      </c>
      <c r="AU118" s="89" t="str">
        <f t="shared" si="113"/>
        <v/>
      </c>
      <c r="AV118" s="89" t="str">
        <f t="shared" si="114"/>
        <v/>
      </c>
      <c r="AW118" s="89" t="str">
        <f t="shared" si="115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16"/>
        <v>0</v>
      </c>
      <c r="AZ118" s="89">
        <f t="shared" si="117"/>
        <v>0</v>
      </c>
      <c r="BA118" s="116">
        <f t="shared" si="118"/>
        <v>0</v>
      </c>
      <c r="BB118" s="116">
        <f t="shared" si="119"/>
        <v>0</v>
      </c>
      <c r="BC118" s="116">
        <f t="shared" si="120"/>
        <v>0</v>
      </c>
      <c r="BD118" s="116">
        <f t="shared" si="94"/>
        <v>0</v>
      </c>
      <c r="BE118" s="89">
        <f t="shared" si="90"/>
        <v>0</v>
      </c>
      <c r="BF118" s="90">
        <f t="shared" si="91"/>
        <v>0.01</v>
      </c>
      <c r="BG118" s="90">
        <f t="shared" si="92"/>
        <v>3.3333333333333333E-2</v>
      </c>
      <c r="BH118" s="116">
        <f t="shared" si="93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3">
        <v>1200</v>
      </c>
      <c r="L119" s="121" t="str">
        <f t="shared" si="87"/>
        <v>0</v>
      </c>
      <c r="M119" s="122">
        <f t="shared" si="88"/>
        <v>0</v>
      </c>
      <c r="N119" s="90">
        <f t="shared" si="95"/>
        <v>0</v>
      </c>
      <c r="O119" s="123">
        <f>IF(L119="",0,IFERROR(IF($M$2="ESTUDO",BH119,N119)+INDEX(AUXILIAR!$AO$3:$AO$8,MATCH(L119,{0;2;5;10;20;50},1))*1440,IF(M119="ESTUDO",BH119,N119)))</f>
        <v>0</v>
      </c>
      <c r="P119" s="94">
        <f t="shared" si="96"/>
        <v>0</v>
      </c>
      <c r="Q119" s="94">
        <f t="shared" si="97"/>
        <v>0</v>
      </c>
      <c r="R119" s="91" t="s">
        <v>0</v>
      </c>
      <c r="S119" s="88">
        <f t="shared" si="98"/>
        <v>0</v>
      </c>
      <c r="T119" s="94">
        <f>((AM119/(1+AUXILIAR!$BJ$4))-((AM119/(1+AUXILIAR!$BJ$4))*AUXILIAR!$BK$4))-(((AM119/(1+AUXILIAR!$BJ$4))-((AM119/(1+AUXILIAR!$BJ$4))*AUXILIAR!$BK$4))*((AUXILIAR!$BL$4+AUXILIAR!$BM$4)))</f>
        <v>0</v>
      </c>
      <c r="U119" s="94">
        <f>((S119/(1+AUXILIAR!$BJ$7))-((S119/(1+AUXILIAR!$BJ$7))*AUXILIAR!$BK$7))-(((S119/(1+AUXILIAR!$BJ$7))-((S119/(1+AUXILIAR!$BJ$7))*AUXILIAR!$BK$7))*((AUXILIAR!$BL$7+AUXILIAR!$BM$7)))</f>
        <v>0</v>
      </c>
      <c r="V119" s="96">
        <f>AM119-(AM119/(1+AUXILIAR!$BJ$4))</f>
        <v>0</v>
      </c>
      <c r="W119" s="96">
        <f>(AM119-V119)*AUXILIAR!$BK$4</f>
        <v>0</v>
      </c>
      <c r="X119" s="96">
        <f>(AM119-V119-W119)*(AUXILIAR!$BL$4+AUXILIAR!$BM$4)</f>
        <v>0</v>
      </c>
      <c r="Y119" s="96">
        <f>X119-(X119/(1+AUXILIAR!$BJ$7))</f>
        <v>0</v>
      </c>
      <c r="Z119" s="96">
        <f>(S119-Y119)*AUXILIAR!$BK$7</f>
        <v>0</v>
      </c>
      <c r="AA119" s="96">
        <f>(S119-Y119-Z119)*(AUXILIAR!$BL$7+AUXILIAR!$BM$7)</f>
        <v>0</v>
      </c>
      <c r="AB119" s="97">
        <f t="shared" si="99"/>
        <v>0</v>
      </c>
      <c r="AC119" s="97">
        <f t="shared" si="100"/>
        <v>0</v>
      </c>
      <c r="AD119" s="97">
        <f t="shared" si="101"/>
        <v>0</v>
      </c>
      <c r="AE119" s="97">
        <f t="shared" si="102"/>
        <v>0</v>
      </c>
      <c r="AF119" s="97">
        <f t="shared" si="103"/>
        <v>0</v>
      </c>
      <c r="AG119" s="96">
        <f t="shared" si="104"/>
        <v>-1</v>
      </c>
      <c r="AH119" s="94">
        <f t="shared" si="105"/>
        <v>0</v>
      </c>
      <c r="AI119" s="98">
        <f t="shared" si="106"/>
        <v>0</v>
      </c>
      <c r="AJ119" s="94">
        <f t="shared" si="107"/>
        <v>0</v>
      </c>
      <c r="AK119" s="94">
        <f t="shared" si="108"/>
        <v>0</v>
      </c>
      <c r="AL119" s="94">
        <f>AUXILIAR!$BM$12</f>
        <v>1</v>
      </c>
      <c r="AM119" s="94">
        <f>IF($E$2="XADREZ",
     IFERROR(VLOOKUP(G119,AUXILIAR!AB:AC,2,TRUE),0),
     IF(AC116="SIM", 0, IFERROR(VLOOKUP(G119,AUXILIAR!AB:AC,2,TRUE),0))
)</f>
        <v>0</v>
      </c>
      <c r="AN119" s="124">
        <f t="shared" si="89"/>
        <v>0</v>
      </c>
      <c r="AO119" s="94">
        <f t="shared" si="109"/>
        <v>0</v>
      </c>
      <c r="AP119" s="94">
        <f t="shared" si="110"/>
        <v>0</v>
      </c>
      <c r="AQ119" s="124">
        <f>IFERROR(INDEX(AUXILIAR!$AG$3:$AG$28,MATCH(G119,AUXILIAR!$AH$3:$AH$28,1))*AM119,0)</f>
        <v>0</v>
      </c>
      <c r="AR119" s="99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1"/>
        <v/>
      </c>
      <c r="AT119" s="89" t="str">
        <f t="shared" si="112"/>
        <v/>
      </c>
      <c r="AU119" s="89" t="str">
        <f t="shared" si="113"/>
        <v/>
      </c>
      <c r="AV119" s="89" t="str">
        <f t="shared" si="114"/>
        <v/>
      </c>
      <c r="AW119" s="89" t="str">
        <f t="shared" si="115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16"/>
        <v>0</v>
      </c>
      <c r="AZ119" s="89">
        <f t="shared" si="117"/>
        <v>0</v>
      </c>
      <c r="BA119" s="116">
        <f t="shared" si="118"/>
        <v>0</v>
      </c>
      <c r="BB119" s="116">
        <f t="shared" si="119"/>
        <v>0</v>
      </c>
      <c r="BC119" s="116">
        <f t="shared" si="120"/>
        <v>0</v>
      </c>
      <c r="BD119" s="116">
        <f t="shared" si="94"/>
        <v>0</v>
      </c>
      <c r="BE119" s="89">
        <f t="shared" si="90"/>
        <v>0</v>
      </c>
      <c r="BF119" s="90">
        <f t="shared" si="91"/>
        <v>0.01</v>
      </c>
      <c r="BG119" s="90">
        <f t="shared" si="92"/>
        <v>3.3333333333333333E-2</v>
      </c>
      <c r="BH119" s="116">
        <f t="shared" si="93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3">
        <v>1200</v>
      </c>
      <c r="L120" s="121" t="str">
        <f t="shared" si="87"/>
        <v>0</v>
      </c>
      <c r="M120" s="122">
        <f t="shared" si="88"/>
        <v>0</v>
      </c>
      <c r="N120" s="90">
        <f t="shared" si="95"/>
        <v>0</v>
      </c>
      <c r="O120" s="123">
        <f>IF(L120="",0,IFERROR(IF($M$2="ESTUDO",BH120,N120)+INDEX(AUXILIAR!$AO$3:$AO$8,MATCH(L120,{0;2;5;10;20;50},1))*1440,IF(M120="ESTUDO",BH120,N120)))</f>
        <v>0</v>
      </c>
      <c r="P120" s="94">
        <f t="shared" si="96"/>
        <v>0</v>
      </c>
      <c r="Q120" s="94">
        <f t="shared" si="97"/>
        <v>0</v>
      </c>
      <c r="R120" s="91" t="s">
        <v>0</v>
      </c>
      <c r="S120" s="88">
        <f t="shared" si="98"/>
        <v>0</v>
      </c>
      <c r="T120" s="94">
        <f>((AM120/(1+AUXILIAR!$BJ$4))-((AM120/(1+AUXILIAR!$BJ$4))*AUXILIAR!$BK$4))-(((AM120/(1+AUXILIAR!$BJ$4))-((AM120/(1+AUXILIAR!$BJ$4))*AUXILIAR!$BK$4))*((AUXILIAR!$BL$4+AUXILIAR!$BM$4)))</f>
        <v>0</v>
      </c>
      <c r="U120" s="94">
        <f>((S120/(1+AUXILIAR!$BJ$7))-((S120/(1+AUXILIAR!$BJ$7))*AUXILIAR!$BK$7))-(((S120/(1+AUXILIAR!$BJ$7))-((S120/(1+AUXILIAR!$BJ$7))*AUXILIAR!$BK$7))*((AUXILIAR!$BL$7+AUXILIAR!$BM$7)))</f>
        <v>0</v>
      </c>
      <c r="V120" s="96">
        <f>AM120-(AM120/(1+AUXILIAR!$BJ$4))</f>
        <v>0</v>
      </c>
      <c r="W120" s="96">
        <f>(AM120-V120)*AUXILIAR!$BK$4</f>
        <v>0</v>
      </c>
      <c r="X120" s="96">
        <f>(AM120-V120-W120)*(AUXILIAR!$BL$4+AUXILIAR!$BM$4)</f>
        <v>0</v>
      </c>
      <c r="Y120" s="96">
        <f>X120-(X120/(1+AUXILIAR!$BJ$7))</f>
        <v>0</v>
      </c>
      <c r="Z120" s="96">
        <f>(S120-Y120)*AUXILIAR!$BK$7</f>
        <v>0</v>
      </c>
      <c r="AA120" s="96">
        <f>(S120-Y120-Z120)*(AUXILIAR!$BL$7+AUXILIAR!$BM$7)</f>
        <v>0</v>
      </c>
      <c r="AB120" s="97">
        <f t="shared" si="99"/>
        <v>0</v>
      </c>
      <c r="AC120" s="97">
        <f t="shared" si="100"/>
        <v>0</v>
      </c>
      <c r="AD120" s="97">
        <f t="shared" si="101"/>
        <v>0</v>
      </c>
      <c r="AE120" s="97">
        <f t="shared" si="102"/>
        <v>0</v>
      </c>
      <c r="AF120" s="97">
        <f t="shared" si="103"/>
        <v>0</v>
      </c>
      <c r="AG120" s="96">
        <f t="shared" si="104"/>
        <v>-1</v>
      </c>
      <c r="AH120" s="94">
        <f t="shared" si="105"/>
        <v>0</v>
      </c>
      <c r="AI120" s="98">
        <f t="shared" si="106"/>
        <v>0</v>
      </c>
      <c r="AJ120" s="94">
        <f t="shared" si="107"/>
        <v>0</v>
      </c>
      <c r="AK120" s="94">
        <f t="shared" si="108"/>
        <v>0</v>
      </c>
      <c r="AL120" s="94">
        <f>AUXILIAR!$BM$12</f>
        <v>1</v>
      </c>
      <c r="AM120" s="94">
        <f>IF($E$2="XADREZ",
     IFERROR(VLOOKUP(G120,AUXILIAR!AB:AC,2,TRUE),0),
     IF(AC117="SIM", 0, IFERROR(VLOOKUP(G120,AUXILIAR!AB:AC,2,TRUE),0))
)</f>
        <v>0</v>
      </c>
      <c r="AN120" s="124">
        <f t="shared" si="89"/>
        <v>0</v>
      </c>
      <c r="AO120" s="94">
        <f t="shared" si="109"/>
        <v>0</v>
      </c>
      <c r="AP120" s="94">
        <f t="shared" si="110"/>
        <v>0</v>
      </c>
      <c r="AQ120" s="124">
        <f>IFERROR(INDEX(AUXILIAR!$AG$3:$AG$28,MATCH(G120,AUXILIAR!$AH$3:$AH$28,1))*AM120,0)</f>
        <v>0</v>
      </c>
      <c r="AR120" s="99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1"/>
        <v/>
      </c>
      <c r="AT120" s="89" t="str">
        <f t="shared" si="112"/>
        <v/>
      </c>
      <c r="AU120" s="89" t="str">
        <f t="shared" si="113"/>
        <v/>
      </c>
      <c r="AV120" s="89" t="str">
        <f t="shared" si="114"/>
        <v/>
      </c>
      <c r="AW120" s="89" t="str">
        <f t="shared" si="115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16"/>
        <v>0</v>
      </c>
      <c r="AZ120" s="89">
        <f t="shared" si="117"/>
        <v>0</v>
      </c>
      <c r="BA120" s="116">
        <f t="shared" si="118"/>
        <v>0</v>
      </c>
      <c r="BB120" s="116">
        <f t="shared" si="119"/>
        <v>0</v>
      </c>
      <c r="BC120" s="116">
        <f t="shared" si="120"/>
        <v>0</v>
      </c>
      <c r="BD120" s="116">
        <f t="shared" si="94"/>
        <v>0</v>
      </c>
      <c r="BE120" s="89">
        <f t="shared" si="90"/>
        <v>0</v>
      </c>
      <c r="BF120" s="90">
        <f t="shared" si="91"/>
        <v>0.01</v>
      </c>
      <c r="BG120" s="90">
        <f t="shared" si="92"/>
        <v>3.3333333333333333E-2</v>
      </c>
      <c r="BH120" s="116">
        <f t="shared" si="93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3">
        <v>1200</v>
      </c>
      <c r="L121" s="121" t="str">
        <f t="shared" si="87"/>
        <v>0</v>
      </c>
      <c r="M121" s="122">
        <f t="shared" si="88"/>
        <v>0</v>
      </c>
      <c r="N121" s="90">
        <f t="shared" si="95"/>
        <v>0</v>
      </c>
      <c r="O121" s="123">
        <f>IF(L121="",0,IFERROR(IF($M$2="ESTUDO",BH121,N121)+INDEX(AUXILIAR!$AO$3:$AO$8,MATCH(L121,{0;2;5;10;20;50},1))*1440,IF(M121="ESTUDO",BH121,N121)))</f>
        <v>0</v>
      </c>
      <c r="P121" s="94">
        <f t="shared" si="96"/>
        <v>0</v>
      </c>
      <c r="Q121" s="94">
        <f t="shared" si="97"/>
        <v>0</v>
      </c>
      <c r="R121" s="91" t="s">
        <v>0</v>
      </c>
      <c r="S121" s="88">
        <f t="shared" si="98"/>
        <v>0</v>
      </c>
      <c r="T121" s="94">
        <f>((AM121/(1+AUXILIAR!$BJ$4))-((AM121/(1+AUXILIAR!$BJ$4))*AUXILIAR!$BK$4))-(((AM121/(1+AUXILIAR!$BJ$4))-((AM121/(1+AUXILIAR!$BJ$4))*AUXILIAR!$BK$4))*((AUXILIAR!$BL$4+AUXILIAR!$BM$4)))</f>
        <v>0</v>
      </c>
      <c r="U121" s="94">
        <f>((S121/(1+AUXILIAR!$BJ$7))-((S121/(1+AUXILIAR!$BJ$7))*AUXILIAR!$BK$7))-(((S121/(1+AUXILIAR!$BJ$7))-((S121/(1+AUXILIAR!$BJ$7))*AUXILIAR!$BK$7))*((AUXILIAR!$BL$7+AUXILIAR!$BM$7)))</f>
        <v>0</v>
      </c>
      <c r="V121" s="96">
        <f>AM121-(AM121/(1+AUXILIAR!$BJ$4))</f>
        <v>0</v>
      </c>
      <c r="W121" s="96">
        <f>(AM121-V121)*AUXILIAR!$BK$4</f>
        <v>0</v>
      </c>
      <c r="X121" s="96">
        <f>(AM121-V121-W121)*(AUXILIAR!$BL$4+AUXILIAR!$BM$4)</f>
        <v>0</v>
      </c>
      <c r="Y121" s="96">
        <f>X121-(X121/(1+AUXILIAR!$BJ$7))</f>
        <v>0</v>
      </c>
      <c r="Z121" s="96">
        <f>(S121-Y121)*AUXILIAR!$BK$7</f>
        <v>0</v>
      </c>
      <c r="AA121" s="96">
        <f>(S121-Y121-Z121)*(AUXILIAR!$BL$7+AUXILIAR!$BM$7)</f>
        <v>0</v>
      </c>
      <c r="AB121" s="97">
        <f t="shared" si="99"/>
        <v>0</v>
      </c>
      <c r="AC121" s="97">
        <f t="shared" si="100"/>
        <v>0</v>
      </c>
      <c r="AD121" s="97">
        <f t="shared" si="101"/>
        <v>0</v>
      </c>
      <c r="AE121" s="97">
        <f t="shared" si="102"/>
        <v>0</v>
      </c>
      <c r="AF121" s="97">
        <f t="shared" si="103"/>
        <v>0</v>
      </c>
      <c r="AG121" s="96">
        <f t="shared" si="104"/>
        <v>-1</v>
      </c>
      <c r="AH121" s="94">
        <f t="shared" si="105"/>
        <v>0</v>
      </c>
      <c r="AI121" s="98">
        <f t="shared" si="106"/>
        <v>0</v>
      </c>
      <c r="AJ121" s="94">
        <f t="shared" si="107"/>
        <v>0</v>
      </c>
      <c r="AK121" s="94">
        <f t="shared" si="108"/>
        <v>0</v>
      </c>
      <c r="AL121" s="94">
        <f>AUXILIAR!$BM$12</f>
        <v>1</v>
      </c>
      <c r="AM121" s="94">
        <f>IF($E$2="XADREZ",
     IFERROR(VLOOKUP(G121,AUXILIAR!AB:AC,2,TRUE),0),
     IF(AC118="SIM", 0, IFERROR(VLOOKUP(G121,AUXILIAR!AB:AC,2,TRUE),0))
)</f>
        <v>0</v>
      </c>
      <c r="AN121" s="124">
        <f t="shared" si="89"/>
        <v>0</v>
      </c>
      <c r="AO121" s="94">
        <f t="shared" si="109"/>
        <v>0</v>
      </c>
      <c r="AP121" s="94">
        <f t="shared" si="110"/>
        <v>0</v>
      </c>
      <c r="AQ121" s="124">
        <f>IFERROR(INDEX(AUXILIAR!$AG$3:$AG$28,MATCH(G121,AUXILIAR!$AH$3:$AH$28,1))*AM121,0)</f>
        <v>0</v>
      </c>
      <c r="AR121" s="99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1"/>
        <v/>
      </c>
      <c r="AT121" s="89" t="str">
        <f t="shared" si="112"/>
        <v/>
      </c>
      <c r="AU121" s="89" t="str">
        <f t="shared" si="113"/>
        <v/>
      </c>
      <c r="AV121" s="89" t="str">
        <f t="shared" si="114"/>
        <v/>
      </c>
      <c r="AW121" s="89" t="str">
        <f t="shared" si="115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16"/>
        <v>0</v>
      </c>
      <c r="AZ121" s="89">
        <f t="shared" si="117"/>
        <v>0</v>
      </c>
      <c r="BA121" s="116">
        <f t="shared" si="118"/>
        <v>0</v>
      </c>
      <c r="BB121" s="116">
        <f t="shared" si="119"/>
        <v>0</v>
      </c>
      <c r="BC121" s="116">
        <f t="shared" si="120"/>
        <v>0</v>
      </c>
      <c r="BD121" s="116">
        <f t="shared" si="94"/>
        <v>0</v>
      </c>
      <c r="BE121" s="89">
        <f t="shared" si="90"/>
        <v>0</v>
      </c>
      <c r="BF121" s="90">
        <f t="shared" si="91"/>
        <v>0.01</v>
      </c>
      <c r="BG121" s="90">
        <f t="shared" si="92"/>
        <v>3.3333333333333333E-2</v>
      </c>
      <c r="BH121" s="116">
        <f t="shared" si="93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3">
        <v>1200</v>
      </c>
      <c r="L122" s="121" t="str">
        <f t="shared" si="87"/>
        <v>0</v>
      </c>
      <c r="M122" s="122">
        <f t="shared" si="88"/>
        <v>0</v>
      </c>
      <c r="N122" s="90">
        <f t="shared" si="95"/>
        <v>0</v>
      </c>
      <c r="O122" s="123">
        <f>IF(L122="",0,IFERROR(IF($M$2="ESTUDO",BH122,N122)+INDEX(AUXILIAR!$AO$3:$AO$8,MATCH(L122,{0;2;5;10;20;50},1))*1440,IF(M122="ESTUDO",BH122,N122)))</f>
        <v>0</v>
      </c>
      <c r="P122" s="94">
        <f t="shared" si="96"/>
        <v>0</v>
      </c>
      <c r="Q122" s="94">
        <f t="shared" si="97"/>
        <v>0</v>
      </c>
      <c r="R122" s="91" t="s">
        <v>0</v>
      </c>
      <c r="S122" s="88">
        <f t="shared" si="98"/>
        <v>0</v>
      </c>
      <c r="T122" s="94">
        <f>((AM122/(1+AUXILIAR!$BJ$4))-((AM122/(1+AUXILIAR!$BJ$4))*AUXILIAR!$BK$4))-(((AM122/(1+AUXILIAR!$BJ$4))-((AM122/(1+AUXILIAR!$BJ$4))*AUXILIAR!$BK$4))*((AUXILIAR!$BL$4+AUXILIAR!$BM$4)))</f>
        <v>0</v>
      </c>
      <c r="U122" s="94">
        <f>((S122/(1+AUXILIAR!$BJ$7))-((S122/(1+AUXILIAR!$BJ$7))*AUXILIAR!$BK$7))-(((S122/(1+AUXILIAR!$BJ$7))-((S122/(1+AUXILIAR!$BJ$7))*AUXILIAR!$BK$7))*((AUXILIAR!$BL$7+AUXILIAR!$BM$7)))</f>
        <v>0</v>
      </c>
      <c r="V122" s="96">
        <f>AM122-(AM122/(1+AUXILIAR!$BJ$4))</f>
        <v>0</v>
      </c>
      <c r="W122" s="96">
        <f>(AM122-V122)*AUXILIAR!$BK$4</f>
        <v>0</v>
      </c>
      <c r="X122" s="96">
        <f>(AM122-V122-W122)*(AUXILIAR!$BL$4+AUXILIAR!$BM$4)</f>
        <v>0</v>
      </c>
      <c r="Y122" s="96">
        <f>X122-(X122/(1+AUXILIAR!$BJ$7))</f>
        <v>0</v>
      </c>
      <c r="Z122" s="96">
        <f>(S122-Y122)*AUXILIAR!$BK$7</f>
        <v>0</v>
      </c>
      <c r="AA122" s="96">
        <f>(S122-Y122-Z122)*(AUXILIAR!$BL$7+AUXILIAR!$BM$7)</f>
        <v>0</v>
      </c>
      <c r="AB122" s="97">
        <f t="shared" si="99"/>
        <v>0</v>
      </c>
      <c r="AC122" s="97">
        <f t="shared" si="100"/>
        <v>0</v>
      </c>
      <c r="AD122" s="97">
        <f t="shared" si="101"/>
        <v>0</v>
      </c>
      <c r="AE122" s="97">
        <f t="shared" si="102"/>
        <v>0</v>
      </c>
      <c r="AF122" s="97">
        <f t="shared" si="103"/>
        <v>0</v>
      </c>
      <c r="AG122" s="96">
        <f t="shared" si="104"/>
        <v>-1</v>
      </c>
      <c r="AH122" s="94">
        <f t="shared" si="105"/>
        <v>0</v>
      </c>
      <c r="AI122" s="98">
        <f t="shared" si="106"/>
        <v>0</v>
      </c>
      <c r="AJ122" s="94">
        <f t="shared" si="107"/>
        <v>0</v>
      </c>
      <c r="AK122" s="94">
        <f t="shared" si="108"/>
        <v>0</v>
      </c>
      <c r="AL122" s="94">
        <f>AUXILIAR!$BM$12</f>
        <v>1</v>
      </c>
      <c r="AM122" s="94">
        <f>IF($E$2="XADREZ",
     IFERROR(VLOOKUP(G122,AUXILIAR!AB:AC,2,TRUE),0),
     IF(AC119="SIM", 0, IFERROR(VLOOKUP(G122,AUXILIAR!AB:AC,2,TRUE),0))
)</f>
        <v>0</v>
      </c>
      <c r="AN122" s="124">
        <f t="shared" si="89"/>
        <v>0</v>
      </c>
      <c r="AO122" s="94">
        <f t="shared" si="109"/>
        <v>0</v>
      </c>
      <c r="AP122" s="94">
        <f t="shared" si="110"/>
        <v>0</v>
      </c>
      <c r="AQ122" s="124">
        <f>IFERROR(INDEX(AUXILIAR!$AG$3:$AG$28,MATCH(G122,AUXILIAR!$AH$3:$AH$28,1))*AM122,0)</f>
        <v>0</v>
      </c>
      <c r="AR122" s="99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1"/>
        <v/>
      </c>
      <c r="AT122" s="89" t="str">
        <f t="shared" si="112"/>
        <v/>
      </c>
      <c r="AU122" s="89" t="str">
        <f t="shared" si="113"/>
        <v/>
      </c>
      <c r="AV122" s="89" t="str">
        <f t="shared" si="114"/>
        <v/>
      </c>
      <c r="AW122" s="89" t="str">
        <f t="shared" si="115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16"/>
        <v>0</v>
      </c>
      <c r="AZ122" s="89">
        <f t="shared" si="117"/>
        <v>0</v>
      </c>
      <c r="BA122" s="116">
        <f t="shared" si="118"/>
        <v>0</v>
      </c>
      <c r="BB122" s="116">
        <f t="shared" si="119"/>
        <v>0</v>
      </c>
      <c r="BC122" s="116">
        <f t="shared" si="120"/>
        <v>0</v>
      </c>
      <c r="BD122" s="116">
        <f t="shared" si="94"/>
        <v>0</v>
      </c>
      <c r="BE122" s="89">
        <f t="shared" si="90"/>
        <v>0</v>
      </c>
      <c r="BF122" s="90">
        <f t="shared" si="91"/>
        <v>0.01</v>
      </c>
      <c r="BG122" s="90">
        <f t="shared" si="92"/>
        <v>3.3333333333333333E-2</v>
      </c>
      <c r="BH122" s="116">
        <f t="shared" si="93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3">
        <v>1200</v>
      </c>
      <c r="L123" s="121" t="str">
        <f t="shared" si="87"/>
        <v>0</v>
      </c>
      <c r="M123" s="122">
        <f t="shared" si="88"/>
        <v>0</v>
      </c>
      <c r="N123" s="90">
        <f t="shared" si="95"/>
        <v>0</v>
      </c>
      <c r="O123" s="123">
        <f>IF(L123="",0,IFERROR(IF($M$2="ESTUDO",BH123,N123)+INDEX(AUXILIAR!$AO$3:$AO$8,MATCH(L123,{0;2;5;10;20;50},1))*1440,IF(M123="ESTUDO",BH123,N123)))</f>
        <v>0</v>
      </c>
      <c r="P123" s="94">
        <f t="shared" si="96"/>
        <v>0</v>
      </c>
      <c r="Q123" s="94">
        <f t="shared" si="97"/>
        <v>0</v>
      </c>
      <c r="R123" s="91" t="s">
        <v>0</v>
      </c>
      <c r="S123" s="88">
        <f t="shared" si="98"/>
        <v>0</v>
      </c>
      <c r="T123" s="94">
        <f>((AM123/(1+AUXILIAR!$BJ$4))-((AM123/(1+AUXILIAR!$BJ$4))*AUXILIAR!$BK$4))-(((AM123/(1+AUXILIAR!$BJ$4))-((AM123/(1+AUXILIAR!$BJ$4))*AUXILIAR!$BK$4))*((AUXILIAR!$BL$4+AUXILIAR!$BM$4)))</f>
        <v>0</v>
      </c>
      <c r="U123" s="94">
        <f>((S123/(1+AUXILIAR!$BJ$7))-((S123/(1+AUXILIAR!$BJ$7))*AUXILIAR!$BK$7))-(((S123/(1+AUXILIAR!$BJ$7))-((S123/(1+AUXILIAR!$BJ$7))*AUXILIAR!$BK$7))*((AUXILIAR!$BL$7+AUXILIAR!$BM$7)))</f>
        <v>0</v>
      </c>
      <c r="V123" s="96">
        <f>AM123-(AM123/(1+AUXILIAR!$BJ$4))</f>
        <v>0</v>
      </c>
      <c r="W123" s="96">
        <f>(AM123-V123)*AUXILIAR!$BK$4</f>
        <v>0</v>
      </c>
      <c r="X123" s="96">
        <f>(AM123-V123-W123)*(AUXILIAR!$BL$4+AUXILIAR!$BM$4)</f>
        <v>0</v>
      </c>
      <c r="Y123" s="96">
        <f>X123-(X123/(1+AUXILIAR!$BJ$7))</f>
        <v>0</v>
      </c>
      <c r="Z123" s="96">
        <f>(S123-Y123)*AUXILIAR!$BK$7</f>
        <v>0</v>
      </c>
      <c r="AA123" s="96">
        <f>(S123-Y123-Z123)*(AUXILIAR!$BL$7+AUXILIAR!$BM$7)</f>
        <v>0</v>
      </c>
      <c r="AB123" s="97">
        <f t="shared" si="99"/>
        <v>0</v>
      </c>
      <c r="AC123" s="97">
        <f t="shared" si="100"/>
        <v>0</v>
      </c>
      <c r="AD123" s="97">
        <f t="shared" si="101"/>
        <v>0</v>
      </c>
      <c r="AE123" s="97">
        <f t="shared" si="102"/>
        <v>0</v>
      </c>
      <c r="AF123" s="97">
        <f t="shared" si="103"/>
        <v>0</v>
      </c>
      <c r="AG123" s="96">
        <f t="shared" si="104"/>
        <v>-1</v>
      </c>
      <c r="AH123" s="94">
        <f t="shared" si="105"/>
        <v>0</v>
      </c>
      <c r="AI123" s="98">
        <f t="shared" si="106"/>
        <v>0</v>
      </c>
      <c r="AJ123" s="94">
        <f t="shared" si="107"/>
        <v>0</v>
      </c>
      <c r="AK123" s="94">
        <f t="shared" si="108"/>
        <v>0</v>
      </c>
      <c r="AL123" s="94">
        <f>AUXILIAR!$BM$12</f>
        <v>1</v>
      </c>
      <c r="AM123" s="94">
        <f>IF($E$2="XADREZ",
     IFERROR(VLOOKUP(G123,AUXILIAR!AB:AC,2,TRUE),0),
     IF(AC120="SIM", 0, IFERROR(VLOOKUP(G123,AUXILIAR!AB:AC,2,TRUE),0))
)</f>
        <v>0</v>
      </c>
      <c r="AN123" s="124">
        <f t="shared" si="89"/>
        <v>0</v>
      </c>
      <c r="AO123" s="94">
        <f t="shared" si="109"/>
        <v>0</v>
      </c>
      <c r="AP123" s="94">
        <f t="shared" si="110"/>
        <v>0</v>
      </c>
      <c r="AQ123" s="124">
        <f>IFERROR(INDEX(AUXILIAR!$AG$3:$AG$28,MATCH(G123,AUXILIAR!$AH$3:$AH$28,1))*AM123,0)</f>
        <v>0</v>
      </c>
      <c r="AR123" s="99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1"/>
        <v/>
      </c>
      <c r="AT123" s="89" t="str">
        <f t="shared" si="112"/>
        <v/>
      </c>
      <c r="AU123" s="89" t="str">
        <f t="shared" si="113"/>
        <v/>
      </c>
      <c r="AV123" s="89" t="str">
        <f t="shared" si="114"/>
        <v/>
      </c>
      <c r="AW123" s="89" t="str">
        <f t="shared" si="115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16"/>
        <v>0</v>
      </c>
      <c r="AZ123" s="89">
        <f t="shared" si="117"/>
        <v>0</v>
      </c>
      <c r="BA123" s="116">
        <f t="shared" si="118"/>
        <v>0</v>
      </c>
      <c r="BB123" s="116">
        <f t="shared" si="119"/>
        <v>0</v>
      </c>
      <c r="BC123" s="116">
        <f t="shared" si="120"/>
        <v>0</v>
      </c>
      <c r="BD123" s="116">
        <f t="shared" si="94"/>
        <v>0</v>
      </c>
      <c r="BE123" s="89">
        <f t="shared" si="90"/>
        <v>0</v>
      </c>
      <c r="BF123" s="90">
        <f t="shared" si="91"/>
        <v>0.01</v>
      </c>
      <c r="BG123" s="90">
        <f t="shared" si="92"/>
        <v>3.3333333333333333E-2</v>
      </c>
      <c r="BH123" s="116">
        <f t="shared" si="93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3">
        <v>1200</v>
      </c>
      <c r="L124" s="121" t="str">
        <f t="shared" si="87"/>
        <v>0</v>
      </c>
      <c r="M124" s="122">
        <f t="shared" si="88"/>
        <v>0</v>
      </c>
      <c r="N124" s="90">
        <f t="shared" si="95"/>
        <v>0</v>
      </c>
      <c r="O124" s="123">
        <f>IF(L124="",0,IFERROR(IF($M$2="ESTUDO",BH124,N124)+INDEX(AUXILIAR!$AO$3:$AO$8,MATCH(L124,{0;2;5;10;20;50},1))*1440,IF(M124="ESTUDO",BH124,N124)))</f>
        <v>0</v>
      </c>
      <c r="P124" s="94">
        <f t="shared" si="96"/>
        <v>0</v>
      </c>
      <c r="Q124" s="94">
        <f t="shared" si="97"/>
        <v>0</v>
      </c>
      <c r="R124" s="91" t="s">
        <v>0</v>
      </c>
      <c r="S124" s="88">
        <f t="shared" si="98"/>
        <v>0</v>
      </c>
      <c r="T124" s="94">
        <f>((AM124/(1+AUXILIAR!$BJ$4))-((AM124/(1+AUXILIAR!$BJ$4))*AUXILIAR!$BK$4))-(((AM124/(1+AUXILIAR!$BJ$4))-((AM124/(1+AUXILIAR!$BJ$4))*AUXILIAR!$BK$4))*((AUXILIAR!$BL$4+AUXILIAR!$BM$4)))</f>
        <v>0</v>
      </c>
      <c r="U124" s="94">
        <f>((S124/(1+AUXILIAR!$BJ$7))-((S124/(1+AUXILIAR!$BJ$7))*AUXILIAR!$BK$7))-(((S124/(1+AUXILIAR!$BJ$7))-((S124/(1+AUXILIAR!$BJ$7))*AUXILIAR!$BK$7))*((AUXILIAR!$BL$7+AUXILIAR!$BM$7)))</f>
        <v>0</v>
      </c>
      <c r="V124" s="96">
        <f>AM124-(AM124/(1+AUXILIAR!$BJ$4))</f>
        <v>0</v>
      </c>
      <c r="W124" s="96">
        <f>(AM124-V124)*AUXILIAR!$BK$4</f>
        <v>0</v>
      </c>
      <c r="X124" s="96">
        <f>(AM124-V124-W124)*(AUXILIAR!$BL$4+AUXILIAR!$BM$4)</f>
        <v>0</v>
      </c>
      <c r="Y124" s="96">
        <f>X124-(X124/(1+AUXILIAR!$BJ$7))</f>
        <v>0</v>
      </c>
      <c r="Z124" s="96">
        <f>(S124-Y124)*AUXILIAR!$BK$7</f>
        <v>0</v>
      </c>
      <c r="AA124" s="96">
        <f>(S124-Y124-Z124)*(AUXILIAR!$BL$7+AUXILIAR!$BM$7)</f>
        <v>0</v>
      </c>
      <c r="AB124" s="97">
        <f t="shared" si="99"/>
        <v>0</v>
      </c>
      <c r="AC124" s="97">
        <f t="shared" si="100"/>
        <v>0</v>
      </c>
      <c r="AD124" s="97">
        <f t="shared" si="101"/>
        <v>0</v>
      </c>
      <c r="AE124" s="97">
        <f t="shared" si="102"/>
        <v>0</v>
      </c>
      <c r="AF124" s="97">
        <f t="shared" si="103"/>
        <v>0</v>
      </c>
      <c r="AG124" s="96">
        <f t="shared" si="104"/>
        <v>-1</v>
      </c>
      <c r="AH124" s="94">
        <f t="shared" si="105"/>
        <v>0</v>
      </c>
      <c r="AI124" s="98">
        <f t="shared" si="106"/>
        <v>0</v>
      </c>
      <c r="AJ124" s="94">
        <f t="shared" si="107"/>
        <v>0</v>
      </c>
      <c r="AK124" s="94">
        <f t="shared" si="108"/>
        <v>0</v>
      </c>
      <c r="AL124" s="94">
        <f>AUXILIAR!$BM$12</f>
        <v>1</v>
      </c>
      <c r="AM124" s="94">
        <f>IF($E$2="XADREZ",
     IFERROR(VLOOKUP(G124,AUXILIAR!AB:AC,2,TRUE),0),
     IF(AC121="SIM", 0, IFERROR(VLOOKUP(G124,AUXILIAR!AB:AC,2,TRUE),0))
)</f>
        <v>0</v>
      </c>
      <c r="AN124" s="124">
        <f t="shared" si="89"/>
        <v>0</v>
      </c>
      <c r="AO124" s="94">
        <f t="shared" si="109"/>
        <v>0</v>
      </c>
      <c r="AP124" s="94">
        <f t="shared" si="110"/>
        <v>0</v>
      </c>
      <c r="AQ124" s="124">
        <f>IFERROR(INDEX(AUXILIAR!$AG$3:$AG$28,MATCH(G124,AUXILIAR!$AH$3:$AH$28,1))*AM124,0)</f>
        <v>0</v>
      </c>
      <c r="AR124" s="99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1"/>
        <v/>
      </c>
      <c r="AT124" s="89" t="str">
        <f t="shared" si="112"/>
        <v/>
      </c>
      <c r="AU124" s="89" t="str">
        <f t="shared" si="113"/>
        <v/>
      </c>
      <c r="AV124" s="89" t="str">
        <f t="shared" si="114"/>
        <v/>
      </c>
      <c r="AW124" s="89" t="str">
        <f t="shared" si="115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16"/>
        <v>0</v>
      </c>
      <c r="AZ124" s="89">
        <f t="shared" si="117"/>
        <v>0</v>
      </c>
      <c r="BA124" s="116">
        <f t="shared" si="118"/>
        <v>0</v>
      </c>
      <c r="BB124" s="116">
        <f t="shared" si="119"/>
        <v>0</v>
      </c>
      <c r="BC124" s="116">
        <f t="shared" si="120"/>
        <v>0</v>
      </c>
      <c r="BD124" s="116">
        <f t="shared" si="94"/>
        <v>0</v>
      </c>
      <c r="BE124" s="89">
        <f t="shared" si="90"/>
        <v>0</v>
      </c>
      <c r="BF124" s="90">
        <f t="shared" si="91"/>
        <v>0.01</v>
      </c>
      <c r="BG124" s="90">
        <f t="shared" si="92"/>
        <v>3.3333333333333333E-2</v>
      </c>
      <c r="BH124" s="116">
        <f t="shared" si="93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3">
        <v>1200</v>
      </c>
      <c r="L125" s="121" t="str">
        <f t="shared" si="87"/>
        <v>0</v>
      </c>
      <c r="M125" s="122">
        <f t="shared" si="88"/>
        <v>0</v>
      </c>
      <c r="N125" s="90">
        <f t="shared" si="95"/>
        <v>0</v>
      </c>
      <c r="O125" s="123">
        <f>IF(L125="",0,IFERROR(IF($M$2="ESTUDO",BH125,N125)+INDEX(AUXILIAR!$AO$3:$AO$8,MATCH(L125,{0;2;5;10;20;50},1))*1440,IF(M125="ESTUDO",BH125,N125)))</f>
        <v>0</v>
      </c>
      <c r="P125" s="94">
        <f t="shared" si="96"/>
        <v>0</v>
      </c>
      <c r="Q125" s="94">
        <f t="shared" si="97"/>
        <v>0</v>
      </c>
      <c r="R125" s="91" t="s">
        <v>0</v>
      </c>
      <c r="S125" s="88">
        <f t="shared" si="98"/>
        <v>0</v>
      </c>
      <c r="T125" s="94">
        <f>((AM125/(1+AUXILIAR!$BJ$4))-((AM125/(1+AUXILIAR!$BJ$4))*AUXILIAR!$BK$4))-(((AM125/(1+AUXILIAR!$BJ$4))-((AM125/(1+AUXILIAR!$BJ$4))*AUXILIAR!$BK$4))*((AUXILIAR!$BL$4+AUXILIAR!$BM$4)))</f>
        <v>0</v>
      </c>
      <c r="U125" s="94">
        <f>((S125/(1+AUXILIAR!$BJ$7))-((S125/(1+AUXILIAR!$BJ$7))*AUXILIAR!$BK$7))-(((S125/(1+AUXILIAR!$BJ$7))-((S125/(1+AUXILIAR!$BJ$7))*AUXILIAR!$BK$7))*((AUXILIAR!$BL$7+AUXILIAR!$BM$7)))</f>
        <v>0</v>
      </c>
      <c r="V125" s="96">
        <f>AM125-(AM125/(1+AUXILIAR!$BJ$4))</f>
        <v>0</v>
      </c>
      <c r="W125" s="96">
        <f>(AM125-V125)*AUXILIAR!$BK$4</f>
        <v>0</v>
      </c>
      <c r="X125" s="96">
        <f>(AM125-V125-W125)*(AUXILIAR!$BL$4+AUXILIAR!$BM$4)</f>
        <v>0</v>
      </c>
      <c r="Y125" s="96">
        <f>X125-(X125/(1+AUXILIAR!$BJ$7))</f>
        <v>0</v>
      </c>
      <c r="Z125" s="96">
        <f>(S125-Y125)*AUXILIAR!$BK$7</f>
        <v>0</v>
      </c>
      <c r="AA125" s="96">
        <f>(S125-Y125-Z125)*(AUXILIAR!$BL$7+AUXILIAR!$BM$7)</f>
        <v>0</v>
      </c>
      <c r="AB125" s="97">
        <f t="shared" si="99"/>
        <v>0</v>
      </c>
      <c r="AC125" s="97">
        <f t="shared" si="100"/>
        <v>0</v>
      </c>
      <c r="AD125" s="97">
        <f t="shared" si="101"/>
        <v>0</v>
      </c>
      <c r="AE125" s="97">
        <f t="shared" si="102"/>
        <v>0</v>
      </c>
      <c r="AF125" s="97">
        <f t="shared" si="103"/>
        <v>0</v>
      </c>
      <c r="AG125" s="96">
        <f t="shared" si="104"/>
        <v>-1</v>
      </c>
      <c r="AH125" s="94">
        <f t="shared" si="105"/>
        <v>0</v>
      </c>
      <c r="AI125" s="98">
        <f t="shared" si="106"/>
        <v>0</v>
      </c>
      <c r="AJ125" s="94">
        <f t="shared" si="107"/>
        <v>0</v>
      </c>
      <c r="AK125" s="94">
        <f t="shared" si="108"/>
        <v>0</v>
      </c>
      <c r="AL125" s="94">
        <f>AUXILIAR!$BM$12</f>
        <v>1</v>
      </c>
      <c r="AM125" s="94">
        <f>IF($E$2="XADREZ",
     IFERROR(VLOOKUP(G125,AUXILIAR!AB:AC,2,TRUE),0),
     IF(AC122="SIM", 0, IFERROR(VLOOKUP(G125,AUXILIAR!AB:AC,2,TRUE),0))
)</f>
        <v>0</v>
      </c>
      <c r="AN125" s="124">
        <f t="shared" si="89"/>
        <v>0</v>
      </c>
      <c r="AO125" s="94">
        <f t="shared" si="109"/>
        <v>0</v>
      </c>
      <c r="AP125" s="94">
        <f t="shared" si="110"/>
        <v>0</v>
      </c>
      <c r="AQ125" s="124">
        <f>IFERROR(INDEX(AUXILIAR!$AG$3:$AG$28,MATCH(G125,AUXILIAR!$AH$3:$AH$28,1))*AM125,0)</f>
        <v>0</v>
      </c>
      <c r="AR125" s="99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1"/>
        <v/>
      </c>
      <c r="AT125" s="89" t="str">
        <f t="shared" si="112"/>
        <v/>
      </c>
      <c r="AU125" s="89" t="str">
        <f t="shared" si="113"/>
        <v/>
      </c>
      <c r="AV125" s="89" t="str">
        <f t="shared" si="114"/>
        <v/>
      </c>
      <c r="AW125" s="89" t="str">
        <f t="shared" si="115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16"/>
        <v>0</v>
      </c>
      <c r="AZ125" s="89">
        <f t="shared" si="117"/>
        <v>0</v>
      </c>
      <c r="BA125" s="116">
        <f t="shared" si="118"/>
        <v>0</v>
      </c>
      <c r="BB125" s="116">
        <f t="shared" si="119"/>
        <v>0</v>
      </c>
      <c r="BC125" s="116">
        <f t="shared" si="120"/>
        <v>0</v>
      </c>
      <c r="BD125" s="116">
        <f t="shared" si="94"/>
        <v>0</v>
      </c>
      <c r="BE125" s="89">
        <f t="shared" si="90"/>
        <v>0</v>
      </c>
      <c r="BF125" s="90">
        <f t="shared" si="91"/>
        <v>0.01</v>
      </c>
      <c r="BG125" s="90">
        <f t="shared" si="92"/>
        <v>3.3333333333333333E-2</v>
      </c>
      <c r="BH125" s="116">
        <f t="shared" si="93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3">
        <v>1200</v>
      </c>
      <c r="L126" s="121" t="str">
        <f t="shared" si="87"/>
        <v>0</v>
      </c>
      <c r="M126" s="122">
        <f t="shared" si="88"/>
        <v>0</v>
      </c>
      <c r="N126" s="90">
        <f t="shared" si="95"/>
        <v>0</v>
      </c>
      <c r="O126" s="123">
        <f>IF(L126="",0,IFERROR(IF($M$2="ESTUDO",BH126,N126)+INDEX(AUXILIAR!$AO$3:$AO$8,MATCH(L126,{0;2;5;10;20;50},1))*1440,IF(M126="ESTUDO",BH126,N126)))</f>
        <v>0</v>
      </c>
      <c r="P126" s="94">
        <f t="shared" si="96"/>
        <v>0</v>
      </c>
      <c r="Q126" s="94">
        <f t="shared" si="97"/>
        <v>0</v>
      </c>
      <c r="R126" s="91" t="s">
        <v>0</v>
      </c>
      <c r="S126" s="88">
        <f t="shared" si="98"/>
        <v>0</v>
      </c>
      <c r="T126" s="94">
        <f>((AM126/(1+AUXILIAR!$BJ$4))-((AM126/(1+AUXILIAR!$BJ$4))*AUXILIAR!$BK$4))-(((AM126/(1+AUXILIAR!$BJ$4))-((AM126/(1+AUXILIAR!$BJ$4))*AUXILIAR!$BK$4))*((AUXILIAR!$BL$4+AUXILIAR!$BM$4)))</f>
        <v>0</v>
      </c>
      <c r="U126" s="94">
        <f>((S126/(1+AUXILIAR!$BJ$7))-((S126/(1+AUXILIAR!$BJ$7))*AUXILIAR!$BK$7))-(((S126/(1+AUXILIAR!$BJ$7))-((S126/(1+AUXILIAR!$BJ$7))*AUXILIAR!$BK$7))*((AUXILIAR!$BL$7+AUXILIAR!$BM$7)))</f>
        <v>0</v>
      </c>
      <c r="V126" s="96">
        <f>AM126-(AM126/(1+AUXILIAR!$BJ$4))</f>
        <v>0</v>
      </c>
      <c r="W126" s="96">
        <f>(AM126-V126)*AUXILIAR!$BK$4</f>
        <v>0</v>
      </c>
      <c r="X126" s="96">
        <f>(AM126-V126-W126)*(AUXILIAR!$BL$4+AUXILIAR!$BM$4)</f>
        <v>0</v>
      </c>
      <c r="Y126" s="96">
        <f>X126-(X126/(1+AUXILIAR!$BJ$7))</f>
        <v>0</v>
      </c>
      <c r="Z126" s="96">
        <f>(S126-Y126)*AUXILIAR!$BK$7</f>
        <v>0</v>
      </c>
      <c r="AA126" s="96">
        <f>(S126-Y126-Z126)*(AUXILIAR!$BL$7+AUXILIAR!$BM$7)</f>
        <v>0</v>
      </c>
      <c r="AB126" s="97">
        <f t="shared" si="99"/>
        <v>0</v>
      </c>
      <c r="AC126" s="97">
        <f t="shared" si="100"/>
        <v>0</v>
      </c>
      <c r="AD126" s="97">
        <f t="shared" si="101"/>
        <v>0</v>
      </c>
      <c r="AE126" s="97">
        <f t="shared" si="102"/>
        <v>0</v>
      </c>
      <c r="AF126" s="97">
        <f t="shared" si="103"/>
        <v>0</v>
      </c>
      <c r="AG126" s="96">
        <f t="shared" si="104"/>
        <v>-1</v>
      </c>
      <c r="AH126" s="94">
        <f t="shared" si="105"/>
        <v>0</v>
      </c>
      <c r="AI126" s="98">
        <f t="shared" si="106"/>
        <v>0</v>
      </c>
      <c r="AJ126" s="94">
        <f t="shared" si="107"/>
        <v>0</v>
      </c>
      <c r="AK126" s="94">
        <f t="shared" si="108"/>
        <v>0</v>
      </c>
      <c r="AL126" s="94">
        <f>AUXILIAR!$BM$12</f>
        <v>1</v>
      </c>
      <c r="AM126" s="94">
        <f>IF($E$2="XADREZ",
     IFERROR(VLOOKUP(G126,AUXILIAR!AB:AC,2,TRUE),0),
     IF(AC123="SIM", 0, IFERROR(VLOOKUP(G126,AUXILIAR!AB:AC,2,TRUE),0))
)</f>
        <v>0</v>
      </c>
      <c r="AN126" s="124">
        <f t="shared" si="89"/>
        <v>0</v>
      </c>
      <c r="AO126" s="94">
        <f t="shared" si="109"/>
        <v>0</v>
      </c>
      <c r="AP126" s="94">
        <f t="shared" si="110"/>
        <v>0</v>
      </c>
      <c r="AQ126" s="124">
        <f>IFERROR(INDEX(AUXILIAR!$AG$3:$AG$28,MATCH(G126,AUXILIAR!$AH$3:$AH$28,1))*AM126,0)</f>
        <v>0</v>
      </c>
      <c r="AR126" s="99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1"/>
        <v/>
      </c>
      <c r="AT126" s="89" t="str">
        <f t="shared" si="112"/>
        <v/>
      </c>
      <c r="AU126" s="89" t="str">
        <f t="shared" si="113"/>
        <v/>
      </c>
      <c r="AV126" s="89" t="str">
        <f t="shared" si="114"/>
        <v/>
      </c>
      <c r="AW126" s="89" t="str">
        <f t="shared" si="115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16"/>
        <v>0</v>
      </c>
      <c r="AZ126" s="89">
        <f t="shared" si="117"/>
        <v>0</v>
      </c>
      <c r="BA126" s="116">
        <f t="shared" si="118"/>
        <v>0</v>
      </c>
      <c r="BB126" s="116">
        <f t="shared" si="119"/>
        <v>0</v>
      </c>
      <c r="BC126" s="116">
        <f t="shared" si="120"/>
        <v>0</v>
      </c>
      <c r="BD126" s="116">
        <f t="shared" si="94"/>
        <v>0</v>
      </c>
      <c r="BE126" s="89">
        <f t="shared" si="90"/>
        <v>0</v>
      </c>
      <c r="BF126" s="90">
        <f t="shared" si="91"/>
        <v>0.01</v>
      </c>
      <c r="BG126" s="90">
        <f t="shared" si="92"/>
        <v>3.3333333333333333E-2</v>
      </c>
      <c r="BH126" s="116">
        <f t="shared" si="93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3">
        <v>1200</v>
      </c>
      <c r="L127" s="121" t="str">
        <f t="shared" si="87"/>
        <v>0</v>
      </c>
      <c r="M127" s="122">
        <f t="shared" si="88"/>
        <v>0</v>
      </c>
      <c r="N127" s="90">
        <f t="shared" si="95"/>
        <v>0</v>
      </c>
      <c r="O127" s="123">
        <f>IF(L127="",0,IFERROR(IF($M$2="ESTUDO",BH127,N127)+INDEX(AUXILIAR!$AO$3:$AO$8,MATCH(L127,{0;2;5;10;20;50},1))*1440,IF(M127="ESTUDO",BH127,N127)))</f>
        <v>0</v>
      </c>
      <c r="P127" s="94">
        <f t="shared" si="96"/>
        <v>0</v>
      </c>
      <c r="Q127" s="94">
        <f t="shared" si="97"/>
        <v>0</v>
      </c>
      <c r="R127" s="91" t="s">
        <v>0</v>
      </c>
      <c r="S127" s="88">
        <f t="shared" si="98"/>
        <v>0</v>
      </c>
      <c r="T127" s="94">
        <f>((AM127/(1+AUXILIAR!$BJ$4))-((AM127/(1+AUXILIAR!$BJ$4))*AUXILIAR!$BK$4))-(((AM127/(1+AUXILIAR!$BJ$4))-((AM127/(1+AUXILIAR!$BJ$4))*AUXILIAR!$BK$4))*((AUXILIAR!$BL$4+AUXILIAR!$BM$4)))</f>
        <v>0</v>
      </c>
      <c r="U127" s="94">
        <f>((S127/(1+AUXILIAR!$BJ$7))-((S127/(1+AUXILIAR!$BJ$7))*AUXILIAR!$BK$7))-(((S127/(1+AUXILIAR!$BJ$7))-((S127/(1+AUXILIAR!$BJ$7))*AUXILIAR!$BK$7))*((AUXILIAR!$BL$7+AUXILIAR!$BM$7)))</f>
        <v>0</v>
      </c>
      <c r="V127" s="96">
        <f>AM127-(AM127/(1+AUXILIAR!$BJ$4))</f>
        <v>0</v>
      </c>
      <c r="W127" s="96">
        <f>(AM127-V127)*AUXILIAR!$BK$4</f>
        <v>0</v>
      </c>
      <c r="X127" s="96">
        <f>(AM127-V127-W127)*(AUXILIAR!$BL$4+AUXILIAR!$BM$4)</f>
        <v>0</v>
      </c>
      <c r="Y127" s="96">
        <f>X127-(X127/(1+AUXILIAR!$BJ$7))</f>
        <v>0</v>
      </c>
      <c r="Z127" s="96">
        <f>(S127-Y127)*AUXILIAR!$BK$7</f>
        <v>0</v>
      </c>
      <c r="AA127" s="96">
        <f>(S127-Y127-Z127)*(AUXILIAR!$BL$7+AUXILIAR!$BM$7)</f>
        <v>0</v>
      </c>
      <c r="AB127" s="97">
        <f t="shared" si="99"/>
        <v>0</v>
      </c>
      <c r="AC127" s="97">
        <f t="shared" si="100"/>
        <v>0</v>
      </c>
      <c r="AD127" s="97">
        <f t="shared" si="101"/>
        <v>0</v>
      </c>
      <c r="AE127" s="97">
        <f t="shared" si="102"/>
        <v>0</v>
      </c>
      <c r="AF127" s="97">
        <f t="shared" si="103"/>
        <v>0</v>
      </c>
      <c r="AG127" s="96">
        <f t="shared" si="104"/>
        <v>-1</v>
      </c>
      <c r="AH127" s="94">
        <f t="shared" si="105"/>
        <v>0</v>
      </c>
      <c r="AI127" s="98">
        <f t="shared" si="106"/>
        <v>0</v>
      </c>
      <c r="AJ127" s="94">
        <f t="shared" si="107"/>
        <v>0</v>
      </c>
      <c r="AK127" s="94">
        <f t="shared" si="108"/>
        <v>0</v>
      </c>
      <c r="AL127" s="94">
        <f>AUXILIAR!$BM$12</f>
        <v>1</v>
      </c>
      <c r="AM127" s="94">
        <f>IF($E$2="XADREZ",
     IFERROR(VLOOKUP(G127,AUXILIAR!AB:AC,2,TRUE),0),
     IF(AC124="SIM", 0, IFERROR(VLOOKUP(G127,AUXILIAR!AB:AC,2,TRUE),0))
)</f>
        <v>0</v>
      </c>
      <c r="AN127" s="124">
        <f t="shared" si="89"/>
        <v>0</v>
      </c>
      <c r="AO127" s="94">
        <f t="shared" si="109"/>
        <v>0</v>
      </c>
      <c r="AP127" s="94">
        <f t="shared" si="110"/>
        <v>0</v>
      </c>
      <c r="AQ127" s="124">
        <f>IFERROR(INDEX(AUXILIAR!$AG$3:$AG$28,MATCH(G127,AUXILIAR!$AH$3:$AH$28,1))*AM127,0)</f>
        <v>0</v>
      </c>
      <c r="AR127" s="99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1"/>
        <v/>
      </c>
      <c r="AT127" s="89" t="str">
        <f t="shared" si="112"/>
        <v/>
      </c>
      <c r="AU127" s="89" t="str">
        <f t="shared" si="113"/>
        <v/>
      </c>
      <c r="AV127" s="89" t="str">
        <f t="shared" si="114"/>
        <v/>
      </c>
      <c r="AW127" s="89" t="str">
        <f t="shared" si="115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16"/>
        <v>0</v>
      </c>
      <c r="AZ127" s="89">
        <f t="shared" si="117"/>
        <v>0</v>
      </c>
      <c r="BA127" s="116">
        <f t="shared" si="118"/>
        <v>0</v>
      </c>
      <c r="BB127" s="116">
        <f t="shared" si="119"/>
        <v>0</v>
      </c>
      <c r="BC127" s="116">
        <f t="shared" si="120"/>
        <v>0</v>
      </c>
      <c r="BD127" s="116">
        <f t="shared" si="94"/>
        <v>0</v>
      </c>
      <c r="BE127" s="89">
        <f t="shared" si="90"/>
        <v>0</v>
      </c>
      <c r="BF127" s="90">
        <f t="shared" si="91"/>
        <v>0.01</v>
      </c>
      <c r="BG127" s="90">
        <f t="shared" si="92"/>
        <v>3.3333333333333333E-2</v>
      </c>
      <c r="BH127" s="116">
        <f t="shared" si="93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3">
        <v>1200</v>
      </c>
      <c r="L128" s="121" t="str">
        <f t="shared" si="87"/>
        <v>0</v>
      </c>
      <c r="M128" s="122">
        <f t="shared" si="88"/>
        <v>0</v>
      </c>
      <c r="N128" s="90">
        <f t="shared" si="95"/>
        <v>0</v>
      </c>
      <c r="O128" s="123">
        <f>IF(L128="",0,IFERROR(IF($M$2="ESTUDO",BH128,N128)+INDEX(AUXILIAR!$AO$3:$AO$8,MATCH(L128,{0;2;5;10;20;50},1))*1440,IF(M128="ESTUDO",BH128,N128)))</f>
        <v>0</v>
      </c>
      <c r="P128" s="94">
        <f t="shared" si="96"/>
        <v>0</v>
      </c>
      <c r="Q128" s="94">
        <f t="shared" si="97"/>
        <v>0</v>
      </c>
      <c r="R128" s="91" t="s">
        <v>0</v>
      </c>
      <c r="S128" s="88">
        <f t="shared" si="98"/>
        <v>0</v>
      </c>
      <c r="T128" s="94">
        <f>((AM128/(1+AUXILIAR!$BJ$4))-((AM128/(1+AUXILIAR!$BJ$4))*AUXILIAR!$BK$4))-(((AM128/(1+AUXILIAR!$BJ$4))-((AM128/(1+AUXILIAR!$BJ$4))*AUXILIAR!$BK$4))*((AUXILIAR!$BL$4+AUXILIAR!$BM$4)))</f>
        <v>0</v>
      </c>
      <c r="U128" s="94">
        <f>((S128/(1+AUXILIAR!$BJ$7))-((S128/(1+AUXILIAR!$BJ$7))*AUXILIAR!$BK$7))-(((S128/(1+AUXILIAR!$BJ$7))-((S128/(1+AUXILIAR!$BJ$7))*AUXILIAR!$BK$7))*((AUXILIAR!$BL$7+AUXILIAR!$BM$7)))</f>
        <v>0</v>
      </c>
      <c r="V128" s="96">
        <f>AM128-(AM128/(1+AUXILIAR!$BJ$4))</f>
        <v>0</v>
      </c>
      <c r="W128" s="96">
        <f>(AM128-V128)*AUXILIAR!$BK$4</f>
        <v>0</v>
      </c>
      <c r="X128" s="96">
        <f>(AM128-V128-W128)*(AUXILIAR!$BL$4+AUXILIAR!$BM$4)</f>
        <v>0</v>
      </c>
      <c r="Y128" s="96">
        <f>X128-(X128/(1+AUXILIAR!$BJ$7))</f>
        <v>0</v>
      </c>
      <c r="Z128" s="96">
        <f>(S128-Y128)*AUXILIAR!$BK$7</f>
        <v>0</v>
      </c>
      <c r="AA128" s="96">
        <f>(S128-Y128-Z128)*(AUXILIAR!$BL$7+AUXILIAR!$BM$7)</f>
        <v>0</v>
      </c>
      <c r="AB128" s="97">
        <f t="shared" si="99"/>
        <v>0</v>
      </c>
      <c r="AC128" s="97">
        <f t="shared" si="100"/>
        <v>0</v>
      </c>
      <c r="AD128" s="97">
        <f t="shared" si="101"/>
        <v>0</v>
      </c>
      <c r="AE128" s="97">
        <f t="shared" si="102"/>
        <v>0</v>
      </c>
      <c r="AF128" s="97">
        <f t="shared" si="103"/>
        <v>0</v>
      </c>
      <c r="AG128" s="96">
        <f t="shared" si="104"/>
        <v>-1</v>
      </c>
      <c r="AH128" s="94">
        <f t="shared" si="105"/>
        <v>0</v>
      </c>
      <c r="AI128" s="98">
        <f t="shared" si="106"/>
        <v>0</v>
      </c>
      <c r="AJ128" s="94">
        <f t="shared" si="107"/>
        <v>0</v>
      </c>
      <c r="AK128" s="94">
        <f t="shared" si="108"/>
        <v>0</v>
      </c>
      <c r="AL128" s="94">
        <f>AUXILIAR!$BM$12</f>
        <v>1</v>
      </c>
      <c r="AM128" s="94">
        <f>IF($E$2="XADREZ",
     IFERROR(VLOOKUP(G128,AUXILIAR!AB:AC,2,TRUE),0),
     IF(AC125="SIM", 0, IFERROR(VLOOKUP(G128,AUXILIAR!AB:AC,2,TRUE),0))
)</f>
        <v>0</v>
      </c>
      <c r="AN128" s="124">
        <f t="shared" si="89"/>
        <v>0</v>
      </c>
      <c r="AO128" s="94">
        <f t="shared" si="109"/>
        <v>0</v>
      </c>
      <c r="AP128" s="94">
        <f t="shared" si="110"/>
        <v>0</v>
      </c>
      <c r="AQ128" s="124">
        <f>IFERROR(INDEX(AUXILIAR!$AG$3:$AG$28,MATCH(G128,AUXILIAR!$AH$3:$AH$28,1))*AM128,0)</f>
        <v>0</v>
      </c>
      <c r="AR128" s="99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1"/>
        <v/>
      </c>
      <c r="AT128" s="89" t="str">
        <f t="shared" si="112"/>
        <v/>
      </c>
      <c r="AU128" s="89" t="str">
        <f t="shared" si="113"/>
        <v/>
      </c>
      <c r="AV128" s="89" t="str">
        <f t="shared" si="114"/>
        <v/>
      </c>
      <c r="AW128" s="89" t="str">
        <f t="shared" si="115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16"/>
        <v>0</v>
      </c>
      <c r="AZ128" s="89">
        <f t="shared" si="117"/>
        <v>0</v>
      </c>
      <c r="BA128" s="116">
        <f t="shared" si="118"/>
        <v>0</v>
      </c>
      <c r="BB128" s="116">
        <f t="shared" si="119"/>
        <v>0</v>
      </c>
      <c r="BC128" s="116">
        <f t="shared" si="120"/>
        <v>0</v>
      </c>
      <c r="BD128" s="116">
        <f t="shared" si="94"/>
        <v>0</v>
      </c>
      <c r="BE128" s="89">
        <f t="shared" si="90"/>
        <v>0</v>
      </c>
      <c r="BF128" s="90">
        <f t="shared" si="91"/>
        <v>0.01</v>
      </c>
      <c r="BG128" s="90">
        <f t="shared" si="92"/>
        <v>3.3333333333333333E-2</v>
      </c>
      <c r="BH128" s="116">
        <f t="shared" si="93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3">
        <v>1200</v>
      </c>
      <c r="L129" s="121" t="str">
        <f t="shared" si="87"/>
        <v>0</v>
      </c>
      <c r="M129" s="122">
        <f t="shared" si="88"/>
        <v>0</v>
      </c>
      <c r="N129" s="90">
        <f t="shared" si="95"/>
        <v>0</v>
      </c>
      <c r="O129" s="123">
        <f>IF(L129="",0,IFERROR(IF($M$2="ESTUDO",BH129,N129)+INDEX(AUXILIAR!$AO$3:$AO$8,MATCH(L129,{0;2;5;10;20;50},1))*1440,IF(M129="ESTUDO",BH129,N129)))</f>
        <v>0</v>
      </c>
      <c r="P129" s="94">
        <f t="shared" si="96"/>
        <v>0</v>
      </c>
      <c r="Q129" s="94">
        <f t="shared" si="97"/>
        <v>0</v>
      </c>
      <c r="R129" s="91" t="s">
        <v>0</v>
      </c>
      <c r="S129" s="88">
        <f t="shared" si="98"/>
        <v>0</v>
      </c>
      <c r="T129" s="94">
        <f>((AM129/(1+AUXILIAR!$BJ$4))-((AM129/(1+AUXILIAR!$BJ$4))*AUXILIAR!$BK$4))-(((AM129/(1+AUXILIAR!$BJ$4))-((AM129/(1+AUXILIAR!$BJ$4))*AUXILIAR!$BK$4))*((AUXILIAR!$BL$4+AUXILIAR!$BM$4)))</f>
        <v>0</v>
      </c>
      <c r="U129" s="94">
        <f>((S129/(1+AUXILIAR!$BJ$7))-((S129/(1+AUXILIAR!$BJ$7))*AUXILIAR!$BK$7))-(((S129/(1+AUXILIAR!$BJ$7))-((S129/(1+AUXILIAR!$BJ$7))*AUXILIAR!$BK$7))*((AUXILIAR!$BL$7+AUXILIAR!$BM$7)))</f>
        <v>0</v>
      </c>
      <c r="V129" s="96">
        <f>AM129-(AM129/(1+AUXILIAR!$BJ$4))</f>
        <v>0</v>
      </c>
      <c r="W129" s="96">
        <f>(AM129-V129)*AUXILIAR!$BK$4</f>
        <v>0</v>
      </c>
      <c r="X129" s="96">
        <f>(AM129-V129-W129)*(AUXILIAR!$BL$4+AUXILIAR!$BM$4)</f>
        <v>0</v>
      </c>
      <c r="Y129" s="96">
        <f>X129-(X129/(1+AUXILIAR!$BJ$7))</f>
        <v>0</v>
      </c>
      <c r="Z129" s="96">
        <f>(S129-Y129)*AUXILIAR!$BK$7</f>
        <v>0</v>
      </c>
      <c r="AA129" s="96">
        <f>(S129-Y129-Z129)*(AUXILIAR!$BL$7+AUXILIAR!$BM$7)</f>
        <v>0</v>
      </c>
      <c r="AB129" s="97">
        <f t="shared" si="99"/>
        <v>0</v>
      </c>
      <c r="AC129" s="97">
        <f t="shared" si="100"/>
        <v>0</v>
      </c>
      <c r="AD129" s="97">
        <f t="shared" si="101"/>
        <v>0</v>
      </c>
      <c r="AE129" s="97">
        <f t="shared" si="102"/>
        <v>0</v>
      </c>
      <c r="AF129" s="97">
        <f t="shared" si="103"/>
        <v>0</v>
      </c>
      <c r="AG129" s="96">
        <f t="shared" si="104"/>
        <v>-1</v>
      </c>
      <c r="AH129" s="94">
        <f t="shared" si="105"/>
        <v>0</v>
      </c>
      <c r="AI129" s="98">
        <f t="shared" si="106"/>
        <v>0</v>
      </c>
      <c r="AJ129" s="94">
        <f t="shared" si="107"/>
        <v>0</v>
      </c>
      <c r="AK129" s="94">
        <f t="shared" si="108"/>
        <v>0</v>
      </c>
      <c r="AL129" s="94">
        <f>AUXILIAR!$BM$12</f>
        <v>1</v>
      </c>
      <c r="AM129" s="94">
        <f>IF($E$2="XADREZ",
     IFERROR(VLOOKUP(G129,AUXILIAR!AB:AC,2,TRUE),0),
     IF(AC126="SIM", 0, IFERROR(VLOOKUP(G129,AUXILIAR!AB:AC,2,TRUE),0))
)</f>
        <v>0</v>
      </c>
      <c r="AN129" s="124">
        <f t="shared" si="89"/>
        <v>0</v>
      </c>
      <c r="AO129" s="94">
        <f t="shared" si="109"/>
        <v>0</v>
      </c>
      <c r="AP129" s="94">
        <f t="shared" si="110"/>
        <v>0</v>
      </c>
      <c r="AQ129" s="124">
        <f>IFERROR(INDEX(AUXILIAR!$AG$3:$AG$28,MATCH(G129,AUXILIAR!$AH$3:$AH$28,1))*AM129,0)</f>
        <v>0</v>
      </c>
      <c r="AR129" s="99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1"/>
        <v/>
      </c>
      <c r="AT129" s="89" t="str">
        <f t="shared" si="112"/>
        <v/>
      </c>
      <c r="AU129" s="89" t="str">
        <f t="shared" si="113"/>
        <v/>
      </c>
      <c r="AV129" s="89" t="str">
        <f t="shared" si="114"/>
        <v/>
      </c>
      <c r="AW129" s="89" t="str">
        <f t="shared" si="115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16"/>
        <v>0</v>
      </c>
      <c r="AZ129" s="89">
        <f t="shared" si="117"/>
        <v>0</v>
      </c>
      <c r="BA129" s="116">
        <f t="shared" si="118"/>
        <v>0</v>
      </c>
      <c r="BB129" s="116">
        <f t="shared" si="119"/>
        <v>0</v>
      </c>
      <c r="BC129" s="116">
        <f t="shared" si="120"/>
        <v>0</v>
      </c>
      <c r="BD129" s="116">
        <f t="shared" si="94"/>
        <v>0</v>
      </c>
      <c r="BE129" s="89">
        <f t="shared" si="90"/>
        <v>0</v>
      </c>
      <c r="BF129" s="90">
        <f t="shared" si="91"/>
        <v>0.01</v>
      </c>
      <c r="BG129" s="90">
        <f t="shared" si="92"/>
        <v>3.3333333333333333E-2</v>
      </c>
      <c r="BH129" s="116">
        <f t="shared" si="93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3">
        <v>1200</v>
      </c>
      <c r="L130" s="121" t="str">
        <f t="shared" si="87"/>
        <v>0</v>
      </c>
      <c r="M130" s="122">
        <f t="shared" si="88"/>
        <v>0</v>
      </c>
      <c r="N130" s="90">
        <f t="shared" si="95"/>
        <v>0</v>
      </c>
      <c r="O130" s="123">
        <f>IF(L130="",0,IFERROR(IF($M$2="ESTUDO",BH130,N130)+INDEX(AUXILIAR!$AO$3:$AO$8,MATCH(L130,{0;2;5;10;20;50},1))*1440,IF(M130="ESTUDO",BH130,N130)))</f>
        <v>0</v>
      </c>
      <c r="P130" s="94">
        <f t="shared" si="96"/>
        <v>0</v>
      </c>
      <c r="Q130" s="94">
        <f t="shared" si="97"/>
        <v>0</v>
      </c>
      <c r="R130" s="91" t="s">
        <v>0</v>
      </c>
      <c r="S130" s="88">
        <f t="shared" si="98"/>
        <v>0</v>
      </c>
      <c r="T130" s="94">
        <f>((AM130/(1+AUXILIAR!$BJ$4))-((AM130/(1+AUXILIAR!$BJ$4))*AUXILIAR!$BK$4))-(((AM130/(1+AUXILIAR!$BJ$4))-((AM130/(1+AUXILIAR!$BJ$4))*AUXILIAR!$BK$4))*((AUXILIAR!$BL$4+AUXILIAR!$BM$4)))</f>
        <v>0</v>
      </c>
      <c r="U130" s="94">
        <f>((S130/(1+AUXILIAR!$BJ$7))-((S130/(1+AUXILIAR!$BJ$7))*AUXILIAR!$BK$7))-(((S130/(1+AUXILIAR!$BJ$7))-((S130/(1+AUXILIAR!$BJ$7))*AUXILIAR!$BK$7))*((AUXILIAR!$BL$7+AUXILIAR!$BM$7)))</f>
        <v>0</v>
      </c>
      <c r="V130" s="96">
        <f>AM130-(AM130/(1+AUXILIAR!$BJ$4))</f>
        <v>0</v>
      </c>
      <c r="W130" s="96">
        <f>(AM130-V130)*AUXILIAR!$BK$4</f>
        <v>0</v>
      </c>
      <c r="X130" s="96">
        <f>(AM130-V130-W130)*(AUXILIAR!$BL$4+AUXILIAR!$BM$4)</f>
        <v>0</v>
      </c>
      <c r="Y130" s="96">
        <f>X130-(X130/(1+AUXILIAR!$BJ$7))</f>
        <v>0</v>
      </c>
      <c r="Z130" s="96">
        <f>(S130-Y130)*AUXILIAR!$BK$7</f>
        <v>0</v>
      </c>
      <c r="AA130" s="96">
        <f>(S130-Y130-Z130)*(AUXILIAR!$BL$7+AUXILIAR!$BM$7)</f>
        <v>0</v>
      </c>
      <c r="AB130" s="97">
        <f t="shared" si="99"/>
        <v>0</v>
      </c>
      <c r="AC130" s="97">
        <f t="shared" si="100"/>
        <v>0</v>
      </c>
      <c r="AD130" s="97">
        <f t="shared" si="101"/>
        <v>0</v>
      </c>
      <c r="AE130" s="97">
        <f t="shared" si="102"/>
        <v>0</v>
      </c>
      <c r="AF130" s="97">
        <f t="shared" si="103"/>
        <v>0</v>
      </c>
      <c r="AG130" s="96">
        <f t="shared" si="104"/>
        <v>-1</v>
      </c>
      <c r="AH130" s="94">
        <f t="shared" si="105"/>
        <v>0</v>
      </c>
      <c r="AI130" s="98">
        <f t="shared" si="106"/>
        <v>0</v>
      </c>
      <c r="AJ130" s="94">
        <f t="shared" si="107"/>
        <v>0</v>
      </c>
      <c r="AK130" s="94">
        <f t="shared" si="108"/>
        <v>0</v>
      </c>
      <c r="AL130" s="94">
        <f>AUXILIAR!$BM$12</f>
        <v>1</v>
      </c>
      <c r="AM130" s="94">
        <f>IF($E$2="XADREZ",
     IFERROR(VLOOKUP(G130,AUXILIAR!AB:AC,2,TRUE),0),
     IF(AC127="SIM", 0, IFERROR(VLOOKUP(G130,AUXILIAR!AB:AC,2,TRUE),0))
)</f>
        <v>0</v>
      </c>
      <c r="AN130" s="124">
        <f t="shared" si="89"/>
        <v>0</v>
      </c>
      <c r="AO130" s="94">
        <f t="shared" si="109"/>
        <v>0</v>
      </c>
      <c r="AP130" s="94">
        <f t="shared" si="110"/>
        <v>0</v>
      </c>
      <c r="AQ130" s="124">
        <f>IFERROR(INDEX(AUXILIAR!$AG$3:$AG$28,MATCH(G130,AUXILIAR!$AH$3:$AH$28,1))*AM130,0)</f>
        <v>0</v>
      </c>
      <c r="AR130" s="99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1"/>
        <v/>
      </c>
      <c r="AT130" s="89" t="str">
        <f t="shared" si="112"/>
        <v/>
      </c>
      <c r="AU130" s="89" t="str">
        <f t="shared" si="113"/>
        <v/>
      </c>
      <c r="AV130" s="89" t="str">
        <f t="shared" si="114"/>
        <v/>
      </c>
      <c r="AW130" s="89" t="str">
        <f t="shared" si="115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16"/>
        <v>0</v>
      </c>
      <c r="AZ130" s="89">
        <f t="shared" si="117"/>
        <v>0</v>
      </c>
      <c r="BA130" s="116">
        <f t="shared" si="118"/>
        <v>0</v>
      </c>
      <c r="BB130" s="116">
        <f t="shared" si="119"/>
        <v>0</v>
      </c>
      <c r="BC130" s="116">
        <f t="shared" si="120"/>
        <v>0</v>
      </c>
      <c r="BD130" s="116">
        <f t="shared" si="94"/>
        <v>0</v>
      </c>
      <c r="BE130" s="89">
        <f t="shared" si="90"/>
        <v>0</v>
      </c>
      <c r="BF130" s="90">
        <f t="shared" si="91"/>
        <v>0.01</v>
      </c>
      <c r="BG130" s="90">
        <f t="shared" si="92"/>
        <v>3.3333333333333333E-2</v>
      </c>
      <c r="BH130" s="116">
        <f t="shared" si="93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3">
        <v>1200</v>
      </c>
      <c r="L131" s="121" t="str">
        <f t="shared" si="87"/>
        <v>0</v>
      </c>
      <c r="M131" s="122">
        <f t="shared" si="88"/>
        <v>0</v>
      </c>
      <c r="N131" s="90">
        <f t="shared" si="95"/>
        <v>0</v>
      </c>
      <c r="O131" s="123">
        <f>IF(L131="",0,IFERROR(IF($M$2="ESTUDO",BH131,N131)+INDEX(AUXILIAR!$AO$3:$AO$8,MATCH(L131,{0;2;5;10;20;50},1))*1440,IF(M131="ESTUDO",BH131,N131)))</f>
        <v>0</v>
      </c>
      <c r="P131" s="94">
        <f t="shared" si="96"/>
        <v>0</v>
      </c>
      <c r="Q131" s="94">
        <f t="shared" si="97"/>
        <v>0</v>
      </c>
      <c r="R131" s="91" t="s">
        <v>0</v>
      </c>
      <c r="S131" s="88">
        <f t="shared" si="98"/>
        <v>0</v>
      </c>
      <c r="T131" s="94">
        <f>((AM131/(1+AUXILIAR!$BJ$4))-((AM131/(1+AUXILIAR!$BJ$4))*AUXILIAR!$BK$4))-(((AM131/(1+AUXILIAR!$BJ$4))-((AM131/(1+AUXILIAR!$BJ$4))*AUXILIAR!$BK$4))*((AUXILIAR!$BL$4+AUXILIAR!$BM$4)))</f>
        <v>0</v>
      </c>
      <c r="U131" s="94">
        <f>((S131/(1+AUXILIAR!$BJ$7))-((S131/(1+AUXILIAR!$BJ$7))*AUXILIAR!$BK$7))-(((S131/(1+AUXILIAR!$BJ$7))-((S131/(1+AUXILIAR!$BJ$7))*AUXILIAR!$BK$7))*((AUXILIAR!$BL$7+AUXILIAR!$BM$7)))</f>
        <v>0</v>
      </c>
      <c r="V131" s="96">
        <f>AM131-(AM131/(1+AUXILIAR!$BJ$4))</f>
        <v>0</v>
      </c>
      <c r="W131" s="96">
        <f>(AM131-V131)*AUXILIAR!$BK$4</f>
        <v>0</v>
      </c>
      <c r="X131" s="96">
        <f>(AM131-V131-W131)*(AUXILIAR!$BL$4+AUXILIAR!$BM$4)</f>
        <v>0</v>
      </c>
      <c r="Y131" s="96">
        <f>X131-(X131/(1+AUXILIAR!$BJ$7))</f>
        <v>0</v>
      </c>
      <c r="Z131" s="96">
        <f>(S131-Y131)*AUXILIAR!$BK$7</f>
        <v>0</v>
      </c>
      <c r="AA131" s="96">
        <f>(S131-Y131-Z131)*(AUXILIAR!$BL$7+AUXILIAR!$BM$7)</f>
        <v>0</v>
      </c>
      <c r="AB131" s="97">
        <f t="shared" si="99"/>
        <v>0</v>
      </c>
      <c r="AC131" s="97">
        <f t="shared" si="100"/>
        <v>0</v>
      </c>
      <c r="AD131" s="97">
        <f t="shared" si="101"/>
        <v>0</v>
      </c>
      <c r="AE131" s="97">
        <f t="shared" si="102"/>
        <v>0</v>
      </c>
      <c r="AF131" s="97">
        <f t="shared" si="103"/>
        <v>0</v>
      </c>
      <c r="AG131" s="96">
        <f t="shared" si="104"/>
        <v>-1</v>
      </c>
      <c r="AH131" s="94">
        <f t="shared" si="105"/>
        <v>0</v>
      </c>
      <c r="AI131" s="98">
        <f t="shared" si="106"/>
        <v>0</v>
      </c>
      <c r="AJ131" s="94">
        <f t="shared" si="107"/>
        <v>0</v>
      </c>
      <c r="AK131" s="94">
        <f t="shared" si="108"/>
        <v>0</v>
      </c>
      <c r="AL131" s="94">
        <f>AUXILIAR!$BM$12</f>
        <v>1</v>
      </c>
      <c r="AM131" s="94">
        <f>IF($E$2="XADREZ",
     IFERROR(VLOOKUP(G131,AUXILIAR!AB:AC,2,TRUE),0),
     IF(AC128="SIM", 0, IFERROR(VLOOKUP(G131,AUXILIAR!AB:AC,2,TRUE),0))
)</f>
        <v>0</v>
      </c>
      <c r="AN131" s="124">
        <f t="shared" si="89"/>
        <v>0</v>
      </c>
      <c r="AO131" s="94">
        <f t="shared" si="109"/>
        <v>0</v>
      </c>
      <c r="AP131" s="94">
        <f t="shared" si="110"/>
        <v>0</v>
      </c>
      <c r="AQ131" s="124">
        <f>IFERROR(INDEX(AUXILIAR!$AG$3:$AG$28,MATCH(G131,AUXILIAR!$AH$3:$AH$28,1))*AM131,0)</f>
        <v>0</v>
      </c>
      <c r="AR131" s="99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1"/>
        <v/>
      </c>
      <c r="AT131" s="89" t="str">
        <f t="shared" si="112"/>
        <v/>
      </c>
      <c r="AU131" s="89" t="str">
        <f t="shared" si="113"/>
        <v/>
      </c>
      <c r="AV131" s="89" t="str">
        <f t="shared" si="114"/>
        <v/>
      </c>
      <c r="AW131" s="89" t="str">
        <f t="shared" si="115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16"/>
        <v>0</v>
      </c>
      <c r="AZ131" s="89">
        <f t="shared" si="117"/>
        <v>0</v>
      </c>
      <c r="BA131" s="116">
        <f t="shared" si="118"/>
        <v>0</v>
      </c>
      <c r="BB131" s="116">
        <f t="shared" si="119"/>
        <v>0</v>
      </c>
      <c r="BC131" s="116">
        <f t="shared" si="120"/>
        <v>0</v>
      </c>
      <c r="BD131" s="116">
        <f t="shared" si="94"/>
        <v>0</v>
      </c>
      <c r="BE131" s="89">
        <f t="shared" si="90"/>
        <v>0</v>
      </c>
      <c r="BF131" s="90">
        <f t="shared" si="91"/>
        <v>0.01</v>
      </c>
      <c r="BG131" s="90">
        <f t="shared" si="92"/>
        <v>3.3333333333333333E-2</v>
      </c>
      <c r="BH131" s="116">
        <f t="shared" si="93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3">
        <v>1200</v>
      </c>
      <c r="L132" s="121" t="str">
        <f t="shared" si="87"/>
        <v>0</v>
      </c>
      <c r="M132" s="122">
        <f t="shared" si="88"/>
        <v>0</v>
      </c>
      <c r="N132" s="90">
        <f t="shared" si="95"/>
        <v>0</v>
      </c>
      <c r="O132" s="123">
        <f>IF(L132="",0,IFERROR(IF($M$2="ESTUDO",BH132,N132)+INDEX(AUXILIAR!$AO$3:$AO$8,MATCH(L132,{0;2;5;10;20;50},1))*1440,IF(M132="ESTUDO",BH132,N132)))</f>
        <v>0</v>
      </c>
      <c r="P132" s="94">
        <f t="shared" si="96"/>
        <v>0</v>
      </c>
      <c r="Q132" s="94">
        <f t="shared" si="97"/>
        <v>0</v>
      </c>
      <c r="R132" s="91" t="s">
        <v>0</v>
      </c>
      <c r="S132" s="88">
        <f t="shared" si="98"/>
        <v>0</v>
      </c>
      <c r="T132" s="94">
        <f>((AM132/(1+AUXILIAR!$BJ$4))-((AM132/(1+AUXILIAR!$BJ$4))*AUXILIAR!$BK$4))-(((AM132/(1+AUXILIAR!$BJ$4))-((AM132/(1+AUXILIAR!$BJ$4))*AUXILIAR!$BK$4))*((AUXILIAR!$BL$4+AUXILIAR!$BM$4)))</f>
        <v>0</v>
      </c>
      <c r="U132" s="94">
        <f>((S132/(1+AUXILIAR!$BJ$7))-((S132/(1+AUXILIAR!$BJ$7))*AUXILIAR!$BK$7))-(((S132/(1+AUXILIAR!$BJ$7))-((S132/(1+AUXILIAR!$BJ$7))*AUXILIAR!$BK$7))*((AUXILIAR!$BL$7+AUXILIAR!$BM$7)))</f>
        <v>0</v>
      </c>
      <c r="V132" s="96">
        <f>AM132-(AM132/(1+AUXILIAR!$BJ$4))</f>
        <v>0</v>
      </c>
      <c r="W132" s="96">
        <f>(AM132-V132)*AUXILIAR!$BK$4</f>
        <v>0</v>
      </c>
      <c r="X132" s="96">
        <f>(AM132-V132-W132)*(AUXILIAR!$BL$4+AUXILIAR!$BM$4)</f>
        <v>0</v>
      </c>
      <c r="Y132" s="96">
        <f>X132-(X132/(1+AUXILIAR!$BJ$7))</f>
        <v>0</v>
      </c>
      <c r="Z132" s="96">
        <f>(S132-Y132)*AUXILIAR!$BK$7</f>
        <v>0</v>
      </c>
      <c r="AA132" s="96">
        <f>(S132-Y132-Z132)*(AUXILIAR!$BL$7+AUXILIAR!$BM$7)</f>
        <v>0</v>
      </c>
      <c r="AB132" s="97">
        <f t="shared" si="99"/>
        <v>0</v>
      </c>
      <c r="AC132" s="97">
        <f t="shared" si="100"/>
        <v>0</v>
      </c>
      <c r="AD132" s="97">
        <f t="shared" si="101"/>
        <v>0</v>
      </c>
      <c r="AE132" s="97">
        <f t="shared" si="102"/>
        <v>0</v>
      </c>
      <c r="AF132" s="97">
        <f t="shared" si="103"/>
        <v>0</v>
      </c>
      <c r="AG132" s="96">
        <f t="shared" si="104"/>
        <v>-1</v>
      </c>
      <c r="AH132" s="94">
        <f t="shared" si="105"/>
        <v>0</v>
      </c>
      <c r="AI132" s="98">
        <f t="shared" si="106"/>
        <v>0</v>
      </c>
      <c r="AJ132" s="94">
        <f t="shared" si="107"/>
        <v>0</v>
      </c>
      <c r="AK132" s="94">
        <f t="shared" si="108"/>
        <v>0</v>
      </c>
      <c r="AL132" s="94">
        <f>AUXILIAR!$BM$12</f>
        <v>1</v>
      </c>
      <c r="AM132" s="94">
        <f>IF($E$2="XADREZ",
     IFERROR(VLOOKUP(G132,AUXILIAR!AB:AC,2,TRUE),0),
     IF(AC129="SIM", 0, IFERROR(VLOOKUP(G132,AUXILIAR!AB:AC,2,TRUE),0))
)</f>
        <v>0</v>
      </c>
      <c r="AN132" s="124">
        <f t="shared" si="89"/>
        <v>0</v>
      </c>
      <c r="AO132" s="94">
        <f t="shared" si="109"/>
        <v>0</v>
      </c>
      <c r="AP132" s="94">
        <f t="shared" si="110"/>
        <v>0</v>
      </c>
      <c r="AQ132" s="124">
        <f>IFERROR(INDEX(AUXILIAR!$AG$3:$AG$28,MATCH(G132,AUXILIAR!$AH$3:$AH$28,1))*AM132,0)</f>
        <v>0</v>
      </c>
      <c r="AR132" s="99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1"/>
        <v/>
      </c>
      <c r="AT132" s="89" t="str">
        <f t="shared" si="112"/>
        <v/>
      </c>
      <c r="AU132" s="89" t="str">
        <f t="shared" si="113"/>
        <v/>
      </c>
      <c r="AV132" s="89" t="str">
        <f t="shared" si="114"/>
        <v/>
      </c>
      <c r="AW132" s="89" t="str">
        <f t="shared" si="115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16"/>
        <v>0</v>
      </c>
      <c r="AZ132" s="89">
        <f t="shared" si="117"/>
        <v>0</v>
      </c>
      <c r="BA132" s="116">
        <f t="shared" si="118"/>
        <v>0</v>
      </c>
      <c r="BB132" s="116">
        <f t="shared" si="119"/>
        <v>0</v>
      </c>
      <c r="BC132" s="116">
        <f t="shared" si="120"/>
        <v>0</v>
      </c>
      <c r="BD132" s="116">
        <f t="shared" si="94"/>
        <v>0</v>
      </c>
      <c r="BE132" s="89">
        <f t="shared" si="90"/>
        <v>0</v>
      </c>
      <c r="BF132" s="90">
        <f t="shared" si="91"/>
        <v>0.01</v>
      </c>
      <c r="BG132" s="90">
        <f t="shared" si="92"/>
        <v>3.3333333333333333E-2</v>
      </c>
      <c r="BH132" s="116">
        <f t="shared" si="93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3">
        <v>1200</v>
      </c>
      <c r="L133" s="121" t="str">
        <f t="shared" si="87"/>
        <v>0</v>
      </c>
      <c r="M133" s="122">
        <f t="shared" si="88"/>
        <v>0</v>
      </c>
      <c r="N133" s="90">
        <f t="shared" si="95"/>
        <v>0</v>
      </c>
      <c r="O133" s="123">
        <f>IF(L133="",0,IFERROR(IF($M$2="ESTUDO",BH133,N133)+INDEX(AUXILIAR!$AO$3:$AO$8,MATCH(L133,{0;2;5;10;20;50},1))*1440,IF(M133="ESTUDO",BH133,N133)))</f>
        <v>0</v>
      </c>
      <c r="P133" s="94">
        <f t="shared" si="96"/>
        <v>0</v>
      </c>
      <c r="Q133" s="94">
        <f t="shared" si="97"/>
        <v>0</v>
      </c>
      <c r="R133" s="91" t="s">
        <v>0</v>
      </c>
      <c r="S133" s="88">
        <f t="shared" si="98"/>
        <v>0</v>
      </c>
      <c r="T133" s="94">
        <f>((AM133/(1+AUXILIAR!$BJ$4))-((AM133/(1+AUXILIAR!$BJ$4))*AUXILIAR!$BK$4))-(((AM133/(1+AUXILIAR!$BJ$4))-((AM133/(1+AUXILIAR!$BJ$4))*AUXILIAR!$BK$4))*((AUXILIAR!$BL$4+AUXILIAR!$BM$4)))</f>
        <v>0</v>
      </c>
      <c r="U133" s="94">
        <f>((S133/(1+AUXILIAR!$BJ$7))-((S133/(1+AUXILIAR!$BJ$7))*AUXILIAR!$BK$7))-(((S133/(1+AUXILIAR!$BJ$7))-((S133/(1+AUXILIAR!$BJ$7))*AUXILIAR!$BK$7))*((AUXILIAR!$BL$7+AUXILIAR!$BM$7)))</f>
        <v>0</v>
      </c>
      <c r="V133" s="96">
        <f>AM133-(AM133/(1+AUXILIAR!$BJ$4))</f>
        <v>0</v>
      </c>
      <c r="W133" s="96">
        <f>(AM133-V133)*AUXILIAR!$BK$4</f>
        <v>0</v>
      </c>
      <c r="X133" s="96">
        <f>(AM133-V133-W133)*(AUXILIAR!$BL$4+AUXILIAR!$BM$4)</f>
        <v>0</v>
      </c>
      <c r="Y133" s="96">
        <f>X133-(X133/(1+AUXILIAR!$BJ$7))</f>
        <v>0</v>
      </c>
      <c r="Z133" s="96">
        <f>(S133-Y133)*AUXILIAR!$BK$7</f>
        <v>0</v>
      </c>
      <c r="AA133" s="96">
        <f>(S133-Y133-Z133)*(AUXILIAR!$BL$7+AUXILIAR!$BM$7)</f>
        <v>0</v>
      </c>
      <c r="AB133" s="97">
        <f t="shared" si="99"/>
        <v>0</v>
      </c>
      <c r="AC133" s="97">
        <f t="shared" si="100"/>
        <v>0</v>
      </c>
      <c r="AD133" s="97">
        <f t="shared" si="101"/>
        <v>0</v>
      </c>
      <c r="AE133" s="97">
        <f t="shared" si="102"/>
        <v>0</v>
      </c>
      <c r="AF133" s="97">
        <f t="shared" si="103"/>
        <v>0</v>
      </c>
      <c r="AG133" s="96">
        <f t="shared" si="104"/>
        <v>-1</v>
      </c>
      <c r="AH133" s="94">
        <f t="shared" si="105"/>
        <v>0</v>
      </c>
      <c r="AI133" s="98">
        <f t="shared" si="106"/>
        <v>0</v>
      </c>
      <c r="AJ133" s="94">
        <f t="shared" si="107"/>
        <v>0</v>
      </c>
      <c r="AK133" s="94">
        <f t="shared" si="108"/>
        <v>0</v>
      </c>
      <c r="AL133" s="94">
        <f>AUXILIAR!$BM$12</f>
        <v>1</v>
      </c>
      <c r="AM133" s="94">
        <f>IF($E$2="XADREZ",
     IFERROR(VLOOKUP(G133,AUXILIAR!AB:AC,2,TRUE),0),
     IF(AC130="SIM", 0, IFERROR(VLOOKUP(G133,AUXILIAR!AB:AC,2,TRUE),0))
)</f>
        <v>0</v>
      </c>
      <c r="AN133" s="124">
        <f t="shared" si="89"/>
        <v>0</v>
      </c>
      <c r="AO133" s="94">
        <f t="shared" si="109"/>
        <v>0</v>
      </c>
      <c r="AP133" s="94">
        <f t="shared" si="110"/>
        <v>0</v>
      </c>
      <c r="AQ133" s="124">
        <f>IFERROR(INDEX(AUXILIAR!$AG$3:$AG$28,MATCH(G133,AUXILIAR!$AH$3:$AH$28,1))*AM133,0)</f>
        <v>0</v>
      </c>
      <c r="AR133" s="99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1"/>
        <v/>
      </c>
      <c r="AT133" s="89" t="str">
        <f t="shared" si="112"/>
        <v/>
      </c>
      <c r="AU133" s="89" t="str">
        <f t="shared" si="113"/>
        <v/>
      </c>
      <c r="AV133" s="89" t="str">
        <f t="shared" si="114"/>
        <v/>
      </c>
      <c r="AW133" s="89" t="str">
        <f t="shared" si="115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16"/>
        <v>0</v>
      </c>
      <c r="AZ133" s="89">
        <f t="shared" si="117"/>
        <v>0</v>
      </c>
      <c r="BA133" s="116">
        <f t="shared" si="118"/>
        <v>0</v>
      </c>
      <c r="BB133" s="116">
        <f t="shared" si="119"/>
        <v>0</v>
      </c>
      <c r="BC133" s="116">
        <f t="shared" si="120"/>
        <v>0</v>
      </c>
      <c r="BD133" s="116">
        <f t="shared" si="94"/>
        <v>0</v>
      </c>
      <c r="BE133" s="89">
        <f t="shared" si="90"/>
        <v>0</v>
      </c>
      <c r="BF133" s="90">
        <f t="shared" si="91"/>
        <v>0.01</v>
      </c>
      <c r="BG133" s="90">
        <f t="shared" si="92"/>
        <v>3.3333333333333333E-2</v>
      </c>
      <c r="BH133" s="116">
        <f t="shared" si="93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3">
        <v>1200</v>
      </c>
      <c r="L134" s="121" t="str">
        <f t="shared" si="87"/>
        <v>0</v>
      </c>
      <c r="M134" s="122">
        <f t="shared" si="88"/>
        <v>0</v>
      </c>
      <c r="N134" s="90">
        <f t="shared" si="95"/>
        <v>0</v>
      </c>
      <c r="O134" s="123">
        <f>IF(L134="",0,IFERROR(IF($M$2="ESTUDO",BH134,N134)+INDEX(AUXILIAR!$AO$3:$AO$8,MATCH(L134,{0;2;5;10;20;50},1))*1440,IF(M134="ESTUDO",BH134,N134)))</f>
        <v>0</v>
      </c>
      <c r="P134" s="94">
        <f t="shared" si="96"/>
        <v>0</v>
      </c>
      <c r="Q134" s="94">
        <f t="shared" si="97"/>
        <v>0</v>
      </c>
      <c r="R134" s="91" t="s">
        <v>0</v>
      </c>
      <c r="S134" s="88">
        <f t="shared" si="98"/>
        <v>0</v>
      </c>
      <c r="T134" s="94">
        <f>((AM134/(1+AUXILIAR!$BJ$4))-((AM134/(1+AUXILIAR!$BJ$4))*AUXILIAR!$BK$4))-(((AM134/(1+AUXILIAR!$BJ$4))-((AM134/(1+AUXILIAR!$BJ$4))*AUXILIAR!$BK$4))*((AUXILIAR!$BL$4+AUXILIAR!$BM$4)))</f>
        <v>0</v>
      </c>
      <c r="U134" s="94">
        <f>((S134/(1+AUXILIAR!$BJ$7))-((S134/(1+AUXILIAR!$BJ$7))*AUXILIAR!$BK$7))-(((S134/(1+AUXILIAR!$BJ$7))-((S134/(1+AUXILIAR!$BJ$7))*AUXILIAR!$BK$7))*((AUXILIAR!$BL$7+AUXILIAR!$BM$7)))</f>
        <v>0</v>
      </c>
      <c r="V134" s="96">
        <f>AM134-(AM134/(1+AUXILIAR!$BJ$4))</f>
        <v>0</v>
      </c>
      <c r="W134" s="96">
        <f>(AM134-V134)*AUXILIAR!$BK$4</f>
        <v>0</v>
      </c>
      <c r="X134" s="96">
        <f>(AM134-V134-W134)*(AUXILIAR!$BL$4+AUXILIAR!$BM$4)</f>
        <v>0</v>
      </c>
      <c r="Y134" s="96">
        <f>X134-(X134/(1+AUXILIAR!$BJ$7))</f>
        <v>0</v>
      </c>
      <c r="Z134" s="96">
        <f>(S134-Y134)*AUXILIAR!$BK$7</f>
        <v>0</v>
      </c>
      <c r="AA134" s="96">
        <f>(S134-Y134-Z134)*(AUXILIAR!$BL$7+AUXILIAR!$BM$7)</f>
        <v>0</v>
      </c>
      <c r="AB134" s="97">
        <f t="shared" si="99"/>
        <v>0</v>
      </c>
      <c r="AC134" s="97">
        <f t="shared" si="100"/>
        <v>0</v>
      </c>
      <c r="AD134" s="97">
        <f t="shared" si="101"/>
        <v>0</v>
      </c>
      <c r="AE134" s="97">
        <f t="shared" si="102"/>
        <v>0</v>
      </c>
      <c r="AF134" s="97">
        <f t="shared" si="103"/>
        <v>0</v>
      </c>
      <c r="AG134" s="96">
        <f t="shared" si="104"/>
        <v>-1</v>
      </c>
      <c r="AH134" s="94">
        <f t="shared" si="105"/>
        <v>0</v>
      </c>
      <c r="AI134" s="98">
        <f t="shared" si="106"/>
        <v>0</v>
      </c>
      <c r="AJ134" s="94">
        <f t="shared" si="107"/>
        <v>0</v>
      </c>
      <c r="AK134" s="94">
        <f t="shared" si="108"/>
        <v>0</v>
      </c>
      <c r="AL134" s="94">
        <f>AUXILIAR!$BM$12</f>
        <v>1</v>
      </c>
      <c r="AM134" s="94">
        <f>IF($E$2="XADREZ",
     IFERROR(VLOOKUP(G134,AUXILIAR!AB:AC,2,TRUE),0),
     IF(AC131="SIM", 0, IFERROR(VLOOKUP(G134,AUXILIAR!AB:AC,2,TRUE),0))
)</f>
        <v>0</v>
      </c>
      <c r="AN134" s="124">
        <f t="shared" si="89"/>
        <v>0</v>
      </c>
      <c r="AO134" s="94">
        <f t="shared" si="109"/>
        <v>0</v>
      </c>
      <c r="AP134" s="94">
        <f t="shared" si="110"/>
        <v>0</v>
      </c>
      <c r="AQ134" s="124">
        <f>IFERROR(INDEX(AUXILIAR!$AG$3:$AG$28,MATCH(G134,AUXILIAR!$AH$3:$AH$28,1))*AM134,0)</f>
        <v>0</v>
      </c>
      <c r="AR134" s="99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1"/>
        <v/>
      </c>
      <c r="AT134" s="89" t="str">
        <f t="shared" si="112"/>
        <v/>
      </c>
      <c r="AU134" s="89" t="str">
        <f t="shared" si="113"/>
        <v/>
      </c>
      <c r="AV134" s="89" t="str">
        <f t="shared" si="114"/>
        <v/>
      </c>
      <c r="AW134" s="89" t="str">
        <f t="shared" si="115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16"/>
        <v>0</v>
      </c>
      <c r="AZ134" s="89">
        <f t="shared" si="117"/>
        <v>0</v>
      </c>
      <c r="BA134" s="116">
        <f t="shared" si="118"/>
        <v>0</v>
      </c>
      <c r="BB134" s="116">
        <f t="shared" si="119"/>
        <v>0</v>
      </c>
      <c r="BC134" s="116">
        <f t="shared" si="120"/>
        <v>0</v>
      </c>
      <c r="BD134" s="116">
        <f t="shared" si="94"/>
        <v>0</v>
      </c>
      <c r="BE134" s="89">
        <f t="shared" si="90"/>
        <v>0</v>
      </c>
      <c r="BF134" s="90">
        <f t="shared" si="91"/>
        <v>0.01</v>
      </c>
      <c r="BG134" s="90">
        <f t="shared" si="92"/>
        <v>3.3333333333333333E-2</v>
      </c>
      <c r="BH134" s="116">
        <f t="shared" si="93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3">
        <v>1200</v>
      </c>
      <c r="L135" s="121" t="str">
        <f t="shared" si="87"/>
        <v>0</v>
      </c>
      <c r="M135" s="122">
        <f t="shared" si="88"/>
        <v>0</v>
      </c>
      <c r="N135" s="90">
        <f t="shared" si="95"/>
        <v>0</v>
      </c>
      <c r="O135" s="123">
        <f>IF(L135="",0,IFERROR(IF($M$2="ESTUDO",BH135,N135)+INDEX(AUXILIAR!$AO$3:$AO$8,MATCH(L135,{0;2;5;10;20;50},1))*1440,IF(M135="ESTUDO",BH135,N135)))</f>
        <v>0</v>
      </c>
      <c r="P135" s="94">
        <f t="shared" si="96"/>
        <v>0</v>
      </c>
      <c r="Q135" s="94">
        <f t="shared" si="97"/>
        <v>0</v>
      </c>
      <c r="R135" s="91" t="s">
        <v>0</v>
      </c>
      <c r="S135" s="88">
        <f t="shared" si="98"/>
        <v>0</v>
      </c>
      <c r="T135" s="94">
        <f>((AM135/(1+AUXILIAR!$BJ$4))-((AM135/(1+AUXILIAR!$BJ$4))*AUXILIAR!$BK$4))-(((AM135/(1+AUXILIAR!$BJ$4))-((AM135/(1+AUXILIAR!$BJ$4))*AUXILIAR!$BK$4))*((AUXILIAR!$BL$4+AUXILIAR!$BM$4)))</f>
        <v>0</v>
      </c>
      <c r="U135" s="94">
        <f>((S135/(1+AUXILIAR!$BJ$7))-((S135/(1+AUXILIAR!$BJ$7))*AUXILIAR!$BK$7))-(((S135/(1+AUXILIAR!$BJ$7))-((S135/(1+AUXILIAR!$BJ$7))*AUXILIAR!$BK$7))*((AUXILIAR!$BL$7+AUXILIAR!$BM$7)))</f>
        <v>0</v>
      </c>
      <c r="V135" s="96">
        <f>AM135-(AM135/(1+AUXILIAR!$BJ$4))</f>
        <v>0</v>
      </c>
      <c r="W135" s="96">
        <f>(AM135-V135)*AUXILIAR!$BK$4</f>
        <v>0</v>
      </c>
      <c r="X135" s="96">
        <f>(AM135-V135-W135)*(AUXILIAR!$BL$4+AUXILIAR!$BM$4)</f>
        <v>0</v>
      </c>
      <c r="Y135" s="96">
        <f>X135-(X135/(1+AUXILIAR!$BJ$7))</f>
        <v>0</v>
      </c>
      <c r="Z135" s="96">
        <f>(S135-Y135)*AUXILIAR!$BK$7</f>
        <v>0</v>
      </c>
      <c r="AA135" s="96">
        <f>(S135-Y135-Z135)*(AUXILIAR!$BL$7+AUXILIAR!$BM$7)</f>
        <v>0</v>
      </c>
      <c r="AB135" s="97">
        <f t="shared" si="99"/>
        <v>0</v>
      </c>
      <c r="AC135" s="97">
        <f t="shared" si="100"/>
        <v>0</v>
      </c>
      <c r="AD135" s="97">
        <f t="shared" si="101"/>
        <v>0</v>
      </c>
      <c r="AE135" s="97">
        <f t="shared" si="102"/>
        <v>0</v>
      </c>
      <c r="AF135" s="97">
        <f t="shared" si="103"/>
        <v>0</v>
      </c>
      <c r="AG135" s="96">
        <f t="shared" si="104"/>
        <v>-1</v>
      </c>
      <c r="AH135" s="94">
        <f t="shared" si="105"/>
        <v>0</v>
      </c>
      <c r="AI135" s="98">
        <f t="shared" si="106"/>
        <v>0</v>
      </c>
      <c r="AJ135" s="94">
        <f t="shared" si="107"/>
        <v>0</v>
      </c>
      <c r="AK135" s="94">
        <f t="shared" si="108"/>
        <v>0</v>
      </c>
      <c r="AL135" s="94">
        <f>AUXILIAR!$BM$12</f>
        <v>1</v>
      </c>
      <c r="AM135" s="94">
        <f>IF($E$2="XADREZ",
     IFERROR(VLOOKUP(G135,AUXILIAR!AB:AC,2,TRUE),0),
     IF(AC132="SIM", 0, IFERROR(VLOOKUP(G135,AUXILIAR!AB:AC,2,TRUE),0))
)</f>
        <v>0</v>
      </c>
      <c r="AN135" s="124">
        <f t="shared" si="89"/>
        <v>0</v>
      </c>
      <c r="AO135" s="94">
        <f t="shared" si="109"/>
        <v>0</v>
      </c>
      <c r="AP135" s="94">
        <f t="shared" si="110"/>
        <v>0</v>
      </c>
      <c r="AQ135" s="124">
        <f>IFERROR(INDEX(AUXILIAR!$AG$3:$AG$28,MATCH(G135,AUXILIAR!$AH$3:$AH$28,1))*AM135,0)</f>
        <v>0</v>
      </c>
      <c r="AR135" s="99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1"/>
        <v/>
      </c>
      <c r="AT135" s="89" t="str">
        <f t="shared" si="112"/>
        <v/>
      </c>
      <c r="AU135" s="89" t="str">
        <f t="shared" si="113"/>
        <v/>
      </c>
      <c r="AV135" s="89" t="str">
        <f t="shared" si="114"/>
        <v/>
      </c>
      <c r="AW135" s="89" t="str">
        <f t="shared" si="115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16"/>
        <v>0</v>
      </c>
      <c r="AZ135" s="89">
        <f t="shared" si="117"/>
        <v>0</v>
      </c>
      <c r="BA135" s="116">
        <f t="shared" si="118"/>
        <v>0</v>
      </c>
      <c r="BB135" s="116">
        <f t="shared" si="119"/>
        <v>0</v>
      </c>
      <c r="BC135" s="116">
        <f t="shared" si="120"/>
        <v>0</v>
      </c>
      <c r="BD135" s="116">
        <f t="shared" si="94"/>
        <v>0</v>
      </c>
      <c r="BE135" s="89">
        <f t="shared" si="90"/>
        <v>0</v>
      </c>
      <c r="BF135" s="90">
        <f t="shared" si="91"/>
        <v>0.01</v>
      </c>
      <c r="BG135" s="90">
        <f t="shared" si="92"/>
        <v>3.3333333333333333E-2</v>
      </c>
      <c r="BH135" s="116">
        <f t="shared" si="93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3">
        <v>1200</v>
      </c>
      <c r="L136" s="121" t="str">
        <f t="shared" si="87"/>
        <v>0</v>
      </c>
      <c r="M136" s="122">
        <f t="shared" si="88"/>
        <v>0</v>
      </c>
      <c r="N136" s="90">
        <f t="shared" si="95"/>
        <v>0</v>
      </c>
      <c r="O136" s="123">
        <f>IF(L136="",0,IFERROR(IF($M$2="ESTUDO",BH136,N136)+INDEX(AUXILIAR!$AO$3:$AO$8,MATCH(L136,{0;2;5;10;20;50},1))*1440,IF(M136="ESTUDO",BH136,N136)))</f>
        <v>0</v>
      </c>
      <c r="P136" s="94">
        <f t="shared" si="96"/>
        <v>0</v>
      </c>
      <c r="Q136" s="94">
        <f t="shared" si="97"/>
        <v>0</v>
      </c>
      <c r="R136" s="91" t="s">
        <v>0</v>
      </c>
      <c r="S136" s="88">
        <f t="shared" si="98"/>
        <v>0</v>
      </c>
      <c r="T136" s="94">
        <f>((AM136/(1+AUXILIAR!$BJ$4))-((AM136/(1+AUXILIAR!$BJ$4))*AUXILIAR!$BK$4))-(((AM136/(1+AUXILIAR!$BJ$4))-((AM136/(1+AUXILIAR!$BJ$4))*AUXILIAR!$BK$4))*((AUXILIAR!$BL$4+AUXILIAR!$BM$4)))</f>
        <v>0</v>
      </c>
      <c r="U136" s="94">
        <f>((S136/(1+AUXILIAR!$BJ$7))-((S136/(1+AUXILIAR!$BJ$7))*AUXILIAR!$BK$7))-(((S136/(1+AUXILIAR!$BJ$7))-((S136/(1+AUXILIAR!$BJ$7))*AUXILIAR!$BK$7))*((AUXILIAR!$BL$7+AUXILIAR!$BM$7)))</f>
        <v>0</v>
      </c>
      <c r="V136" s="96">
        <f>AM136-(AM136/(1+AUXILIAR!$BJ$4))</f>
        <v>0</v>
      </c>
      <c r="W136" s="96">
        <f>(AM136-V136)*AUXILIAR!$BK$4</f>
        <v>0</v>
      </c>
      <c r="X136" s="96">
        <f>(AM136-V136-W136)*(AUXILIAR!$BL$4+AUXILIAR!$BM$4)</f>
        <v>0</v>
      </c>
      <c r="Y136" s="96">
        <f>X136-(X136/(1+AUXILIAR!$BJ$7))</f>
        <v>0</v>
      </c>
      <c r="Z136" s="96">
        <f>(S136-Y136)*AUXILIAR!$BK$7</f>
        <v>0</v>
      </c>
      <c r="AA136" s="96">
        <f>(S136-Y136-Z136)*(AUXILIAR!$BL$7+AUXILIAR!$BM$7)</f>
        <v>0</v>
      </c>
      <c r="AB136" s="97">
        <f t="shared" si="99"/>
        <v>0</v>
      </c>
      <c r="AC136" s="97">
        <f t="shared" si="100"/>
        <v>0</v>
      </c>
      <c r="AD136" s="97">
        <f t="shared" si="101"/>
        <v>0</v>
      </c>
      <c r="AE136" s="97">
        <f t="shared" si="102"/>
        <v>0</v>
      </c>
      <c r="AF136" s="97">
        <f t="shared" si="103"/>
        <v>0</v>
      </c>
      <c r="AG136" s="96">
        <f t="shared" si="104"/>
        <v>-1</v>
      </c>
      <c r="AH136" s="94">
        <f t="shared" si="105"/>
        <v>0</v>
      </c>
      <c r="AI136" s="98">
        <f t="shared" si="106"/>
        <v>0</v>
      </c>
      <c r="AJ136" s="94">
        <f t="shared" si="107"/>
        <v>0</v>
      </c>
      <c r="AK136" s="94">
        <f t="shared" si="108"/>
        <v>0</v>
      </c>
      <c r="AL136" s="94">
        <f>AUXILIAR!$BM$12</f>
        <v>1</v>
      </c>
      <c r="AM136" s="94">
        <f>IF($E$2="XADREZ",
     IFERROR(VLOOKUP(G136,AUXILIAR!AB:AC,2,TRUE),0),
     IF(AC133="SIM", 0, IFERROR(VLOOKUP(G136,AUXILIAR!AB:AC,2,TRUE),0))
)</f>
        <v>0</v>
      </c>
      <c r="AN136" s="124">
        <f t="shared" si="89"/>
        <v>0</v>
      </c>
      <c r="AO136" s="94">
        <f t="shared" si="109"/>
        <v>0</v>
      </c>
      <c r="AP136" s="94">
        <f t="shared" si="110"/>
        <v>0</v>
      </c>
      <c r="AQ136" s="124">
        <f>IFERROR(INDEX(AUXILIAR!$AG$3:$AG$28,MATCH(G136,AUXILIAR!$AH$3:$AH$28,1))*AM136,0)</f>
        <v>0</v>
      </c>
      <c r="AR136" s="99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1"/>
        <v/>
      </c>
      <c r="AT136" s="89" t="str">
        <f t="shared" si="112"/>
        <v/>
      </c>
      <c r="AU136" s="89" t="str">
        <f t="shared" si="113"/>
        <v/>
      </c>
      <c r="AV136" s="89" t="str">
        <f t="shared" si="114"/>
        <v/>
      </c>
      <c r="AW136" s="89" t="str">
        <f t="shared" si="115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16"/>
        <v>0</v>
      </c>
      <c r="AZ136" s="89">
        <f t="shared" si="117"/>
        <v>0</v>
      </c>
      <c r="BA136" s="116">
        <f t="shared" si="118"/>
        <v>0</v>
      </c>
      <c r="BB136" s="116">
        <f t="shared" si="119"/>
        <v>0</v>
      </c>
      <c r="BC136" s="116">
        <f t="shared" si="120"/>
        <v>0</v>
      </c>
      <c r="BD136" s="116">
        <f t="shared" si="94"/>
        <v>0</v>
      </c>
      <c r="BE136" s="89">
        <f t="shared" si="90"/>
        <v>0</v>
      </c>
      <c r="BF136" s="90">
        <f t="shared" si="91"/>
        <v>0.01</v>
      </c>
      <c r="BG136" s="90">
        <f t="shared" si="92"/>
        <v>3.3333333333333333E-2</v>
      </c>
      <c r="BH136" s="116">
        <f t="shared" si="93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3">
        <v>1200</v>
      </c>
      <c r="L137" s="121" t="str">
        <f t="shared" si="87"/>
        <v>0</v>
      </c>
      <c r="M137" s="122">
        <f t="shared" si="88"/>
        <v>0</v>
      </c>
      <c r="N137" s="90">
        <f t="shared" si="95"/>
        <v>0</v>
      </c>
      <c r="O137" s="123">
        <f>IF(L137="",0,IFERROR(IF($M$2="ESTUDO",BH137,N137)+INDEX(AUXILIAR!$AO$3:$AO$8,MATCH(L137,{0;2;5;10;20;50},1))*1440,IF(M137="ESTUDO",BH137,N137)))</f>
        <v>0</v>
      </c>
      <c r="P137" s="94">
        <f t="shared" si="96"/>
        <v>0</v>
      </c>
      <c r="Q137" s="94">
        <f t="shared" si="97"/>
        <v>0</v>
      </c>
      <c r="R137" s="91" t="s">
        <v>0</v>
      </c>
      <c r="S137" s="88">
        <f t="shared" si="98"/>
        <v>0</v>
      </c>
      <c r="T137" s="94">
        <f>((AM137/(1+AUXILIAR!$BJ$4))-((AM137/(1+AUXILIAR!$BJ$4))*AUXILIAR!$BK$4))-(((AM137/(1+AUXILIAR!$BJ$4))-((AM137/(1+AUXILIAR!$BJ$4))*AUXILIAR!$BK$4))*((AUXILIAR!$BL$4+AUXILIAR!$BM$4)))</f>
        <v>0</v>
      </c>
      <c r="U137" s="94">
        <f>((S137/(1+AUXILIAR!$BJ$7))-((S137/(1+AUXILIAR!$BJ$7))*AUXILIAR!$BK$7))-(((S137/(1+AUXILIAR!$BJ$7))-((S137/(1+AUXILIAR!$BJ$7))*AUXILIAR!$BK$7))*((AUXILIAR!$BL$7+AUXILIAR!$BM$7)))</f>
        <v>0</v>
      </c>
      <c r="V137" s="96">
        <f>AM137-(AM137/(1+AUXILIAR!$BJ$4))</f>
        <v>0</v>
      </c>
      <c r="W137" s="96">
        <f>(AM137-V137)*AUXILIAR!$BK$4</f>
        <v>0</v>
      </c>
      <c r="X137" s="96">
        <f>(AM137-V137-W137)*(AUXILIAR!$BL$4+AUXILIAR!$BM$4)</f>
        <v>0</v>
      </c>
      <c r="Y137" s="96">
        <f>X137-(X137/(1+AUXILIAR!$BJ$7))</f>
        <v>0</v>
      </c>
      <c r="Z137" s="96">
        <f>(S137-Y137)*AUXILIAR!$BK$7</f>
        <v>0</v>
      </c>
      <c r="AA137" s="96">
        <f>(S137-Y137-Z137)*(AUXILIAR!$BL$7+AUXILIAR!$BM$7)</f>
        <v>0</v>
      </c>
      <c r="AB137" s="97">
        <f t="shared" si="99"/>
        <v>0</v>
      </c>
      <c r="AC137" s="97">
        <f t="shared" si="100"/>
        <v>0</v>
      </c>
      <c r="AD137" s="97">
        <f t="shared" si="101"/>
        <v>0</v>
      </c>
      <c r="AE137" s="97">
        <f t="shared" si="102"/>
        <v>0</v>
      </c>
      <c r="AF137" s="97">
        <f t="shared" si="103"/>
        <v>0</v>
      </c>
      <c r="AG137" s="96">
        <f t="shared" si="104"/>
        <v>-1</v>
      </c>
      <c r="AH137" s="94">
        <f t="shared" si="105"/>
        <v>0</v>
      </c>
      <c r="AI137" s="98">
        <f t="shared" si="106"/>
        <v>0</v>
      </c>
      <c r="AJ137" s="94">
        <f t="shared" si="107"/>
        <v>0</v>
      </c>
      <c r="AK137" s="94">
        <f t="shared" si="108"/>
        <v>0</v>
      </c>
      <c r="AL137" s="94">
        <f>AUXILIAR!$BM$12</f>
        <v>1</v>
      </c>
      <c r="AM137" s="94">
        <f>IF($E$2="XADREZ",
     IFERROR(VLOOKUP(G137,AUXILIAR!AB:AC,2,TRUE),0),
     IF(AC134="SIM", 0, IFERROR(VLOOKUP(G137,AUXILIAR!AB:AC,2,TRUE),0))
)</f>
        <v>0</v>
      </c>
      <c r="AN137" s="124">
        <f t="shared" si="89"/>
        <v>0</v>
      </c>
      <c r="AO137" s="94">
        <f t="shared" si="109"/>
        <v>0</v>
      </c>
      <c r="AP137" s="94">
        <f t="shared" si="110"/>
        <v>0</v>
      </c>
      <c r="AQ137" s="124">
        <f>IFERROR(INDEX(AUXILIAR!$AG$3:$AG$28,MATCH(G137,AUXILIAR!$AH$3:$AH$28,1))*AM137,0)</f>
        <v>0</v>
      </c>
      <c r="AR137" s="99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1"/>
        <v/>
      </c>
      <c r="AT137" s="89" t="str">
        <f t="shared" si="112"/>
        <v/>
      </c>
      <c r="AU137" s="89" t="str">
        <f t="shared" si="113"/>
        <v/>
      </c>
      <c r="AV137" s="89" t="str">
        <f t="shared" si="114"/>
        <v/>
      </c>
      <c r="AW137" s="89" t="str">
        <f t="shared" si="115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16"/>
        <v>0</v>
      </c>
      <c r="AZ137" s="89">
        <f t="shared" si="117"/>
        <v>0</v>
      </c>
      <c r="BA137" s="116">
        <f t="shared" si="118"/>
        <v>0</v>
      </c>
      <c r="BB137" s="116">
        <f t="shared" si="119"/>
        <v>0</v>
      </c>
      <c r="BC137" s="116">
        <f t="shared" si="120"/>
        <v>0</v>
      </c>
      <c r="BD137" s="116">
        <f t="shared" si="94"/>
        <v>0</v>
      </c>
      <c r="BE137" s="89">
        <f t="shared" si="90"/>
        <v>0</v>
      </c>
      <c r="BF137" s="90">
        <f t="shared" si="91"/>
        <v>0.01</v>
      </c>
      <c r="BG137" s="90">
        <f t="shared" si="92"/>
        <v>3.3333333333333333E-2</v>
      </c>
      <c r="BH137" s="116">
        <f t="shared" si="93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3">
        <v>1200</v>
      </c>
      <c r="L138" s="121" t="str">
        <f t="shared" si="87"/>
        <v>0</v>
      </c>
      <c r="M138" s="122">
        <f t="shared" si="88"/>
        <v>0</v>
      </c>
      <c r="N138" s="90">
        <f t="shared" si="95"/>
        <v>0</v>
      </c>
      <c r="O138" s="123">
        <f>IF(L138="",0,IFERROR(IF($M$2="ESTUDO",BH138,N138)+INDEX(AUXILIAR!$AO$3:$AO$8,MATCH(L138,{0;2;5;10;20;50},1))*1440,IF(M138="ESTUDO",BH138,N138)))</f>
        <v>0</v>
      </c>
      <c r="P138" s="94">
        <f t="shared" si="96"/>
        <v>0</v>
      </c>
      <c r="Q138" s="94">
        <f t="shared" si="97"/>
        <v>0</v>
      </c>
      <c r="R138" s="91" t="s">
        <v>0</v>
      </c>
      <c r="S138" s="88">
        <f t="shared" si="98"/>
        <v>0</v>
      </c>
      <c r="T138" s="94">
        <f>((AM138/(1+AUXILIAR!$BJ$4))-((AM138/(1+AUXILIAR!$BJ$4))*AUXILIAR!$BK$4))-(((AM138/(1+AUXILIAR!$BJ$4))-((AM138/(1+AUXILIAR!$BJ$4))*AUXILIAR!$BK$4))*((AUXILIAR!$BL$4+AUXILIAR!$BM$4)))</f>
        <v>0</v>
      </c>
      <c r="U138" s="94">
        <f>((S138/(1+AUXILIAR!$BJ$7))-((S138/(1+AUXILIAR!$BJ$7))*AUXILIAR!$BK$7))-(((S138/(1+AUXILIAR!$BJ$7))-((S138/(1+AUXILIAR!$BJ$7))*AUXILIAR!$BK$7))*((AUXILIAR!$BL$7+AUXILIAR!$BM$7)))</f>
        <v>0</v>
      </c>
      <c r="V138" s="96">
        <f>AM138-(AM138/(1+AUXILIAR!$BJ$4))</f>
        <v>0</v>
      </c>
      <c r="W138" s="96">
        <f>(AM138-V138)*AUXILIAR!$BK$4</f>
        <v>0</v>
      </c>
      <c r="X138" s="96">
        <f>(AM138-V138-W138)*(AUXILIAR!$BL$4+AUXILIAR!$BM$4)</f>
        <v>0</v>
      </c>
      <c r="Y138" s="96">
        <f>X138-(X138/(1+AUXILIAR!$BJ$7))</f>
        <v>0</v>
      </c>
      <c r="Z138" s="96">
        <f>(S138-Y138)*AUXILIAR!$BK$7</f>
        <v>0</v>
      </c>
      <c r="AA138" s="96">
        <f>(S138-Y138-Z138)*(AUXILIAR!$BL$7+AUXILIAR!$BM$7)</f>
        <v>0</v>
      </c>
      <c r="AB138" s="97">
        <f t="shared" si="99"/>
        <v>0</v>
      </c>
      <c r="AC138" s="97">
        <f t="shared" si="100"/>
        <v>0</v>
      </c>
      <c r="AD138" s="97">
        <f t="shared" si="101"/>
        <v>0</v>
      </c>
      <c r="AE138" s="97">
        <f t="shared" si="102"/>
        <v>0</v>
      </c>
      <c r="AF138" s="97">
        <f t="shared" si="103"/>
        <v>0</v>
      </c>
      <c r="AG138" s="96">
        <f t="shared" si="104"/>
        <v>-1</v>
      </c>
      <c r="AH138" s="94">
        <f t="shared" si="105"/>
        <v>0</v>
      </c>
      <c r="AI138" s="98">
        <f t="shared" si="106"/>
        <v>0</v>
      </c>
      <c r="AJ138" s="94">
        <f t="shared" si="107"/>
        <v>0</v>
      </c>
      <c r="AK138" s="94">
        <f t="shared" si="108"/>
        <v>0</v>
      </c>
      <c r="AL138" s="94">
        <f>AUXILIAR!$BM$12</f>
        <v>1</v>
      </c>
      <c r="AM138" s="94">
        <f>IF($E$2="XADREZ",
     IFERROR(VLOOKUP(G138,AUXILIAR!AB:AC,2,TRUE),0),
     IF(AC135="SIM", 0, IFERROR(VLOOKUP(G138,AUXILIAR!AB:AC,2,TRUE),0))
)</f>
        <v>0</v>
      </c>
      <c r="AN138" s="124">
        <f t="shared" si="89"/>
        <v>0</v>
      </c>
      <c r="AO138" s="94">
        <f t="shared" si="109"/>
        <v>0</v>
      </c>
      <c r="AP138" s="94">
        <f t="shared" si="110"/>
        <v>0</v>
      </c>
      <c r="AQ138" s="124">
        <f>IFERROR(INDEX(AUXILIAR!$AG$3:$AG$28,MATCH(G138,AUXILIAR!$AH$3:$AH$28,1))*AM138,0)</f>
        <v>0</v>
      </c>
      <c r="AR138" s="99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1"/>
        <v/>
      </c>
      <c r="AT138" s="89" t="str">
        <f t="shared" si="112"/>
        <v/>
      </c>
      <c r="AU138" s="89" t="str">
        <f t="shared" si="113"/>
        <v/>
      </c>
      <c r="AV138" s="89" t="str">
        <f t="shared" si="114"/>
        <v/>
      </c>
      <c r="AW138" s="89" t="str">
        <f t="shared" si="115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16"/>
        <v>0</v>
      </c>
      <c r="AZ138" s="89">
        <f t="shared" si="117"/>
        <v>0</v>
      </c>
      <c r="BA138" s="116">
        <f t="shared" si="118"/>
        <v>0</v>
      </c>
      <c r="BB138" s="116">
        <f t="shared" si="119"/>
        <v>0</v>
      </c>
      <c r="BC138" s="116">
        <f t="shared" si="120"/>
        <v>0</v>
      </c>
      <c r="BD138" s="116">
        <f t="shared" si="94"/>
        <v>0</v>
      </c>
      <c r="BE138" s="89">
        <f t="shared" si="90"/>
        <v>0</v>
      </c>
      <c r="BF138" s="90">
        <f t="shared" si="91"/>
        <v>0.01</v>
      </c>
      <c r="BG138" s="90">
        <f t="shared" si="92"/>
        <v>3.3333333333333333E-2</v>
      </c>
      <c r="BH138" s="116">
        <f t="shared" si="93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3">
        <v>1200</v>
      </c>
      <c r="L139" s="121" t="str">
        <f t="shared" si="87"/>
        <v>0</v>
      </c>
      <c r="M139" s="122">
        <f t="shared" si="88"/>
        <v>0</v>
      </c>
      <c r="N139" s="90">
        <f t="shared" si="95"/>
        <v>0</v>
      </c>
      <c r="O139" s="123">
        <f>IF(L139="",0,IFERROR(IF($M$2="ESTUDO",BH139,N139)+INDEX(AUXILIAR!$AO$3:$AO$8,MATCH(L139,{0;2;5;10;20;50},1))*1440,IF(M139="ESTUDO",BH139,N139)))</f>
        <v>0</v>
      </c>
      <c r="P139" s="94">
        <f t="shared" si="96"/>
        <v>0</v>
      </c>
      <c r="Q139" s="94">
        <f t="shared" si="97"/>
        <v>0</v>
      </c>
      <c r="R139" s="91" t="s">
        <v>0</v>
      </c>
      <c r="S139" s="88">
        <f t="shared" si="98"/>
        <v>0</v>
      </c>
      <c r="T139" s="94">
        <f>((AM139/(1+AUXILIAR!$BJ$4))-((AM139/(1+AUXILIAR!$BJ$4))*AUXILIAR!$BK$4))-(((AM139/(1+AUXILIAR!$BJ$4))-((AM139/(1+AUXILIAR!$BJ$4))*AUXILIAR!$BK$4))*((AUXILIAR!$BL$4+AUXILIAR!$BM$4)))</f>
        <v>0</v>
      </c>
      <c r="U139" s="94">
        <f>((S139/(1+AUXILIAR!$BJ$7))-((S139/(1+AUXILIAR!$BJ$7))*AUXILIAR!$BK$7))-(((S139/(1+AUXILIAR!$BJ$7))-((S139/(1+AUXILIAR!$BJ$7))*AUXILIAR!$BK$7))*((AUXILIAR!$BL$7+AUXILIAR!$BM$7)))</f>
        <v>0</v>
      </c>
      <c r="V139" s="96">
        <f>AM139-(AM139/(1+AUXILIAR!$BJ$4))</f>
        <v>0</v>
      </c>
      <c r="W139" s="96">
        <f>(AM139-V139)*AUXILIAR!$BK$4</f>
        <v>0</v>
      </c>
      <c r="X139" s="96">
        <f>(AM139-V139-W139)*(AUXILIAR!$BL$4+AUXILIAR!$BM$4)</f>
        <v>0</v>
      </c>
      <c r="Y139" s="96">
        <f>X139-(X139/(1+AUXILIAR!$BJ$7))</f>
        <v>0</v>
      </c>
      <c r="Z139" s="96">
        <f>(S139-Y139)*AUXILIAR!$BK$7</f>
        <v>0</v>
      </c>
      <c r="AA139" s="96">
        <f>(S139-Y139-Z139)*(AUXILIAR!$BL$7+AUXILIAR!$BM$7)</f>
        <v>0</v>
      </c>
      <c r="AB139" s="97">
        <f t="shared" si="99"/>
        <v>0</v>
      </c>
      <c r="AC139" s="97">
        <f t="shared" si="100"/>
        <v>0</v>
      </c>
      <c r="AD139" s="97">
        <f t="shared" si="101"/>
        <v>0</v>
      </c>
      <c r="AE139" s="97">
        <f t="shared" si="102"/>
        <v>0</v>
      </c>
      <c r="AF139" s="97">
        <f t="shared" si="103"/>
        <v>0</v>
      </c>
      <c r="AG139" s="96">
        <f t="shared" si="104"/>
        <v>-1</v>
      </c>
      <c r="AH139" s="94">
        <f t="shared" si="105"/>
        <v>0</v>
      </c>
      <c r="AI139" s="98">
        <f t="shared" si="106"/>
        <v>0</v>
      </c>
      <c r="AJ139" s="94">
        <f t="shared" si="107"/>
        <v>0</v>
      </c>
      <c r="AK139" s="94">
        <f t="shared" si="108"/>
        <v>0</v>
      </c>
      <c r="AL139" s="94">
        <f>AUXILIAR!$BM$12</f>
        <v>1</v>
      </c>
      <c r="AM139" s="94">
        <f>IF($E$2="XADREZ",
     IFERROR(VLOOKUP(G139,AUXILIAR!AB:AC,2,TRUE),0),
     IF(AC136="SIM", 0, IFERROR(VLOOKUP(G139,AUXILIAR!AB:AC,2,TRUE),0))
)</f>
        <v>0</v>
      </c>
      <c r="AN139" s="124">
        <f t="shared" si="89"/>
        <v>0</v>
      </c>
      <c r="AO139" s="94">
        <f t="shared" si="109"/>
        <v>0</v>
      </c>
      <c r="AP139" s="94">
        <f t="shared" si="110"/>
        <v>0</v>
      </c>
      <c r="AQ139" s="124">
        <f>IFERROR(INDEX(AUXILIAR!$AG$3:$AG$28,MATCH(G139,AUXILIAR!$AH$3:$AH$28,1))*AM139,0)</f>
        <v>0</v>
      </c>
      <c r="AR139" s="99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1"/>
        <v/>
      </c>
      <c r="AT139" s="89" t="str">
        <f t="shared" si="112"/>
        <v/>
      </c>
      <c r="AU139" s="89" t="str">
        <f t="shared" si="113"/>
        <v/>
      </c>
      <c r="AV139" s="89" t="str">
        <f t="shared" si="114"/>
        <v/>
      </c>
      <c r="AW139" s="89" t="str">
        <f t="shared" si="115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16"/>
        <v>0</v>
      </c>
      <c r="AZ139" s="89">
        <f t="shared" si="117"/>
        <v>0</v>
      </c>
      <c r="BA139" s="116">
        <f t="shared" si="118"/>
        <v>0</v>
      </c>
      <c r="BB139" s="116">
        <f t="shared" si="119"/>
        <v>0</v>
      </c>
      <c r="BC139" s="116">
        <f t="shared" si="120"/>
        <v>0</v>
      </c>
      <c r="BD139" s="116">
        <f t="shared" si="94"/>
        <v>0</v>
      </c>
      <c r="BE139" s="89">
        <f t="shared" si="90"/>
        <v>0</v>
      </c>
      <c r="BF139" s="90">
        <f t="shared" si="91"/>
        <v>0.01</v>
      </c>
      <c r="BG139" s="90">
        <f t="shared" si="92"/>
        <v>3.3333333333333333E-2</v>
      </c>
      <c r="BH139" s="116">
        <f t="shared" si="93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3">
        <v>1200</v>
      </c>
      <c r="L140" s="121" t="str">
        <f t="shared" si="87"/>
        <v>0</v>
      </c>
      <c r="M140" s="122">
        <f t="shared" si="88"/>
        <v>0</v>
      </c>
      <c r="N140" s="90">
        <f t="shared" si="95"/>
        <v>0</v>
      </c>
      <c r="O140" s="123">
        <f>IF(L140="",0,IFERROR(IF($M$2="ESTUDO",BH140,N140)+INDEX(AUXILIAR!$AO$3:$AO$8,MATCH(L140,{0;2;5;10;20;50},1))*1440,IF(M140="ESTUDO",BH140,N140)))</f>
        <v>0</v>
      </c>
      <c r="P140" s="94">
        <f t="shared" si="96"/>
        <v>0</v>
      </c>
      <c r="Q140" s="94">
        <f t="shared" si="97"/>
        <v>0</v>
      </c>
      <c r="R140" s="91" t="s">
        <v>0</v>
      </c>
      <c r="S140" s="88">
        <f t="shared" si="98"/>
        <v>0</v>
      </c>
      <c r="T140" s="94">
        <f>((AM140/(1+AUXILIAR!$BJ$4))-((AM140/(1+AUXILIAR!$BJ$4))*AUXILIAR!$BK$4))-(((AM140/(1+AUXILIAR!$BJ$4))-((AM140/(1+AUXILIAR!$BJ$4))*AUXILIAR!$BK$4))*((AUXILIAR!$BL$4+AUXILIAR!$BM$4)))</f>
        <v>0</v>
      </c>
      <c r="U140" s="94">
        <f>((S140/(1+AUXILIAR!$BJ$7))-((S140/(1+AUXILIAR!$BJ$7))*AUXILIAR!$BK$7))-(((S140/(1+AUXILIAR!$BJ$7))-((S140/(1+AUXILIAR!$BJ$7))*AUXILIAR!$BK$7))*((AUXILIAR!$BL$7+AUXILIAR!$BM$7)))</f>
        <v>0</v>
      </c>
      <c r="V140" s="96">
        <f>AM140-(AM140/(1+AUXILIAR!$BJ$4))</f>
        <v>0</v>
      </c>
      <c r="W140" s="96">
        <f>(AM140-V140)*AUXILIAR!$BK$4</f>
        <v>0</v>
      </c>
      <c r="X140" s="96">
        <f>(AM140-V140-W140)*(AUXILIAR!$BL$4+AUXILIAR!$BM$4)</f>
        <v>0</v>
      </c>
      <c r="Y140" s="96">
        <f>X140-(X140/(1+AUXILIAR!$BJ$7))</f>
        <v>0</v>
      </c>
      <c r="Z140" s="96">
        <f>(S140-Y140)*AUXILIAR!$BK$7</f>
        <v>0</v>
      </c>
      <c r="AA140" s="96">
        <f>(S140-Y140-Z140)*(AUXILIAR!$BL$7+AUXILIAR!$BM$7)</f>
        <v>0</v>
      </c>
      <c r="AB140" s="97">
        <f t="shared" si="99"/>
        <v>0</v>
      </c>
      <c r="AC140" s="97">
        <f t="shared" si="100"/>
        <v>0</v>
      </c>
      <c r="AD140" s="97">
        <f t="shared" si="101"/>
        <v>0</v>
      </c>
      <c r="AE140" s="97">
        <f t="shared" si="102"/>
        <v>0</v>
      </c>
      <c r="AF140" s="97">
        <f t="shared" si="103"/>
        <v>0</v>
      </c>
      <c r="AG140" s="96">
        <f t="shared" si="104"/>
        <v>-1</v>
      </c>
      <c r="AH140" s="94">
        <f t="shared" si="105"/>
        <v>0</v>
      </c>
      <c r="AI140" s="98">
        <f t="shared" si="106"/>
        <v>0</v>
      </c>
      <c r="AJ140" s="94">
        <f t="shared" si="107"/>
        <v>0</v>
      </c>
      <c r="AK140" s="94">
        <f t="shared" si="108"/>
        <v>0</v>
      </c>
      <c r="AL140" s="94">
        <f>AUXILIAR!$BM$12</f>
        <v>1</v>
      </c>
      <c r="AM140" s="94">
        <f>IF($E$2="XADREZ",
     IFERROR(VLOOKUP(G140,AUXILIAR!AB:AC,2,TRUE),0),
     IF(AC137="SIM", 0, IFERROR(VLOOKUP(G140,AUXILIAR!AB:AC,2,TRUE),0))
)</f>
        <v>0</v>
      </c>
      <c r="AN140" s="124">
        <f t="shared" si="89"/>
        <v>0</v>
      </c>
      <c r="AO140" s="94">
        <f t="shared" si="109"/>
        <v>0</v>
      </c>
      <c r="AP140" s="94">
        <f t="shared" si="110"/>
        <v>0</v>
      </c>
      <c r="AQ140" s="124">
        <f>IFERROR(INDEX(AUXILIAR!$AG$3:$AG$28,MATCH(G140,AUXILIAR!$AH$3:$AH$28,1))*AM140,0)</f>
        <v>0</v>
      </c>
      <c r="AR140" s="99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1"/>
        <v/>
      </c>
      <c r="AT140" s="89" t="str">
        <f t="shared" si="112"/>
        <v/>
      </c>
      <c r="AU140" s="89" t="str">
        <f t="shared" si="113"/>
        <v/>
      </c>
      <c r="AV140" s="89" t="str">
        <f t="shared" si="114"/>
        <v/>
      </c>
      <c r="AW140" s="89" t="str">
        <f t="shared" si="115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16"/>
        <v>0</v>
      </c>
      <c r="AZ140" s="89">
        <f t="shared" si="117"/>
        <v>0</v>
      </c>
      <c r="BA140" s="116">
        <f t="shared" si="118"/>
        <v>0</v>
      </c>
      <c r="BB140" s="116">
        <f t="shared" si="119"/>
        <v>0</v>
      </c>
      <c r="BC140" s="116">
        <f t="shared" si="120"/>
        <v>0</v>
      </c>
      <c r="BD140" s="116">
        <f t="shared" si="94"/>
        <v>0</v>
      </c>
      <c r="BE140" s="89">
        <f t="shared" si="90"/>
        <v>0</v>
      </c>
      <c r="BF140" s="90">
        <f t="shared" si="91"/>
        <v>0.01</v>
      </c>
      <c r="BG140" s="90">
        <f t="shared" si="92"/>
        <v>3.3333333333333333E-2</v>
      </c>
      <c r="BH140" s="116">
        <f t="shared" si="93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3">
        <v>1200</v>
      </c>
      <c r="L141" s="121" t="str">
        <f t="shared" si="87"/>
        <v>0</v>
      </c>
      <c r="M141" s="122">
        <f t="shared" si="88"/>
        <v>0</v>
      </c>
      <c r="N141" s="90">
        <f t="shared" si="95"/>
        <v>0</v>
      </c>
      <c r="O141" s="123">
        <f>IF(L141="",0,IFERROR(IF($M$2="ESTUDO",BH141,N141)+INDEX(AUXILIAR!$AO$3:$AO$8,MATCH(L141,{0;2;5;10;20;50},1))*1440,IF(M141="ESTUDO",BH141,N141)))</f>
        <v>0</v>
      </c>
      <c r="P141" s="94">
        <f t="shared" si="96"/>
        <v>0</v>
      </c>
      <c r="Q141" s="94">
        <f t="shared" si="97"/>
        <v>0</v>
      </c>
      <c r="R141" s="91" t="s">
        <v>0</v>
      </c>
      <c r="S141" s="88">
        <f t="shared" si="98"/>
        <v>0</v>
      </c>
      <c r="T141" s="94">
        <f>((AM141/(1+AUXILIAR!$BJ$4))-((AM141/(1+AUXILIAR!$BJ$4))*AUXILIAR!$BK$4))-(((AM141/(1+AUXILIAR!$BJ$4))-((AM141/(1+AUXILIAR!$BJ$4))*AUXILIAR!$BK$4))*((AUXILIAR!$BL$4+AUXILIAR!$BM$4)))</f>
        <v>0</v>
      </c>
      <c r="U141" s="94">
        <f>((S141/(1+AUXILIAR!$BJ$7))-((S141/(1+AUXILIAR!$BJ$7))*AUXILIAR!$BK$7))-(((S141/(1+AUXILIAR!$BJ$7))-((S141/(1+AUXILIAR!$BJ$7))*AUXILIAR!$BK$7))*((AUXILIAR!$BL$7+AUXILIAR!$BM$7)))</f>
        <v>0</v>
      </c>
      <c r="V141" s="96">
        <f>AM141-(AM141/(1+AUXILIAR!$BJ$4))</f>
        <v>0</v>
      </c>
      <c r="W141" s="96">
        <f>(AM141-V141)*AUXILIAR!$BK$4</f>
        <v>0</v>
      </c>
      <c r="X141" s="96">
        <f>(AM141-V141-W141)*(AUXILIAR!$BL$4+AUXILIAR!$BM$4)</f>
        <v>0</v>
      </c>
      <c r="Y141" s="96">
        <f>X141-(X141/(1+AUXILIAR!$BJ$7))</f>
        <v>0</v>
      </c>
      <c r="Z141" s="96">
        <f>(S141-Y141)*AUXILIAR!$BK$7</f>
        <v>0</v>
      </c>
      <c r="AA141" s="96">
        <f>(S141-Y141-Z141)*(AUXILIAR!$BL$7+AUXILIAR!$BM$7)</f>
        <v>0</v>
      </c>
      <c r="AB141" s="97">
        <f t="shared" si="99"/>
        <v>0</v>
      </c>
      <c r="AC141" s="97">
        <f t="shared" si="100"/>
        <v>0</v>
      </c>
      <c r="AD141" s="97">
        <f t="shared" si="101"/>
        <v>0</v>
      </c>
      <c r="AE141" s="97">
        <f t="shared" si="102"/>
        <v>0</v>
      </c>
      <c r="AF141" s="97">
        <f t="shared" si="103"/>
        <v>0</v>
      </c>
      <c r="AG141" s="96">
        <f t="shared" si="104"/>
        <v>-1</v>
      </c>
      <c r="AH141" s="94">
        <f t="shared" si="105"/>
        <v>0</v>
      </c>
      <c r="AI141" s="98">
        <f t="shared" si="106"/>
        <v>0</v>
      </c>
      <c r="AJ141" s="94">
        <f t="shared" si="107"/>
        <v>0</v>
      </c>
      <c r="AK141" s="94">
        <f t="shared" si="108"/>
        <v>0</v>
      </c>
      <c r="AL141" s="94">
        <f>AUXILIAR!$BM$12</f>
        <v>1</v>
      </c>
      <c r="AM141" s="94">
        <f>IF($E$2="XADREZ",
     IFERROR(VLOOKUP(G141,AUXILIAR!AB:AC,2,TRUE),0),
     IF(AC138="SIM", 0, IFERROR(VLOOKUP(G141,AUXILIAR!AB:AC,2,TRUE),0))
)</f>
        <v>0</v>
      </c>
      <c r="AN141" s="124">
        <f t="shared" si="89"/>
        <v>0</v>
      </c>
      <c r="AO141" s="94">
        <f t="shared" si="109"/>
        <v>0</v>
      </c>
      <c r="AP141" s="94">
        <f t="shared" si="110"/>
        <v>0</v>
      </c>
      <c r="AQ141" s="124">
        <f>IFERROR(INDEX(AUXILIAR!$AG$3:$AG$28,MATCH(G141,AUXILIAR!$AH$3:$AH$28,1))*AM141,0)</f>
        <v>0</v>
      </c>
      <c r="AR141" s="99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1"/>
        <v/>
      </c>
      <c r="AT141" s="89" t="str">
        <f t="shared" si="112"/>
        <v/>
      </c>
      <c r="AU141" s="89" t="str">
        <f t="shared" si="113"/>
        <v/>
      </c>
      <c r="AV141" s="89" t="str">
        <f t="shared" si="114"/>
        <v/>
      </c>
      <c r="AW141" s="89" t="str">
        <f t="shared" si="115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16"/>
        <v>0</v>
      </c>
      <c r="AZ141" s="89">
        <f t="shared" si="117"/>
        <v>0</v>
      </c>
      <c r="BA141" s="116">
        <f t="shared" si="118"/>
        <v>0</v>
      </c>
      <c r="BB141" s="116">
        <f t="shared" si="119"/>
        <v>0</v>
      </c>
      <c r="BC141" s="116">
        <f t="shared" si="120"/>
        <v>0</v>
      </c>
      <c r="BD141" s="116">
        <f t="shared" si="94"/>
        <v>0</v>
      </c>
      <c r="BE141" s="89">
        <f t="shared" si="90"/>
        <v>0</v>
      </c>
      <c r="BF141" s="90">
        <f t="shared" si="91"/>
        <v>0.01</v>
      </c>
      <c r="BG141" s="90">
        <f t="shared" si="92"/>
        <v>3.3333333333333333E-2</v>
      </c>
      <c r="BH141" s="116">
        <f t="shared" si="93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3">
        <v>1200</v>
      </c>
      <c r="L142" s="121" t="str">
        <f t="shared" si="87"/>
        <v>0</v>
      </c>
      <c r="M142" s="122">
        <f t="shared" si="88"/>
        <v>0</v>
      </c>
      <c r="N142" s="90">
        <f t="shared" ref="N142:N173" si="121">IFERROR((AU142/AX142)+BC142,0)</f>
        <v>0</v>
      </c>
      <c r="O142" s="123">
        <f>IF(L142="",0,IFERROR(IF($M$2="ESTUDO",BH142,N142)+INDEX(AUXILIAR!$AO$3:$AO$8,MATCH(L142,{0;2;5;10;20;50},1))*1440,IF(M142="ESTUDO",BH142,N142)))</f>
        <v>0</v>
      </c>
      <c r="P142" s="94">
        <f t="shared" ref="P142:P173" si="122">IFERROR(Q142/C142,0)</f>
        <v>0</v>
      </c>
      <c r="Q142" s="94">
        <f t="shared" ref="Q142:Q173" si="123">IFERROR($D$2 * ROUND(M142, 2), 0)</f>
        <v>0</v>
      </c>
      <c r="R142" s="91" t="s">
        <v>0</v>
      </c>
      <c r="S142" s="88">
        <f t="shared" ref="S142:S173" si="124">IF(A142="",0,$D$2)</f>
        <v>0</v>
      </c>
      <c r="T142" s="94">
        <f>((AM142/(1+AUXILIAR!$BJ$4))-((AM142/(1+AUXILIAR!$BJ$4))*AUXILIAR!$BK$4))-(((AM142/(1+AUXILIAR!$BJ$4))-((AM142/(1+AUXILIAR!$BJ$4))*AUXILIAR!$BK$4))*((AUXILIAR!$BL$4+AUXILIAR!$BM$4)))</f>
        <v>0</v>
      </c>
      <c r="U142" s="94">
        <f>((S142/(1+AUXILIAR!$BJ$7))-((S142/(1+AUXILIAR!$BJ$7))*AUXILIAR!$BK$7))-(((S142/(1+AUXILIAR!$BJ$7))-((S142/(1+AUXILIAR!$BJ$7))*AUXILIAR!$BK$7))*((AUXILIAR!$BL$7+AUXILIAR!$BM$7)))</f>
        <v>0</v>
      </c>
      <c r="V142" s="96">
        <f>AM142-(AM142/(1+AUXILIAR!$BJ$4))</f>
        <v>0</v>
      </c>
      <c r="W142" s="96">
        <f>(AM142-V142)*AUXILIAR!$BK$4</f>
        <v>0</v>
      </c>
      <c r="X142" s="96">
        <f>(AM142-V142-W142)*(AUXILIAR!$BL$4+AUXILIAR!$BM$4)</f>
        <v>0</v>
      </c>
      <c r="Y142" s="96">
        <f>X142-(X142/(1+AUXILIAR!$BJ$7))</f>
        <v>0</v>
      </c>
      <c r="Z142" s="96">
        <f>(S142-Y142)*AUXILIAR!$BK$7</f>
        <v>0</v>
      </c>
      <c r="AA142" s="96">
        <f>(S142-Y142-Z142)*(AUXILIAR!$BL$7+AUXILIAR!$BM$7)</f>
        <v>0</v>
      </c>
      <c r="AB142" s="97">
        <f t="shared" ref="AB142:AB173" si="125">V142-Y142</f>
        <v>0</v>
      </c>
      <c r="AC142" s="97">
        <f t="shared" ref="AC142:AC173" si="126">W142-Z142</f>
        <v>0</v>
      </c>
      <c r="AD142" s="97">
        <f t="shared" ref="AD142:AD173" si="127">X142-AA142</f>
        <v>0</v>
      </c>
      <c r="AE142" s="97">
        <f t="shared" ref="AE142:AE173" si="128">AB142+AC142+AD142</f>
        <v>0</v>
      </c>
      <c r="AF142" s="97">
        <f t="shared" ref="AF142:AF173" si="129">IFERROR(S142*M142,0)</f>
        <v>0</v>
      </c>
      <c r="AG142" s="96">
        <f t="shared" ref="AG142:AG173" si="130">IFERROR((S142-AM142+AE142-AO142-AP142-AQ142-AL142),0)</f>
        <v>-1</v>
      </c>
      <c r="AH142" s="94">
        <f t="shared" ref="AH142:AH173" si="131">IFERROR(AG142*M142,0)</f>
        <v>0</v>
      </c>
      <c r="AI142" s="98">
        <f t="shared" ref="AI142:AI173" si="132">IFERROR(AG142/S142,0)</f>
        <v>0</v>
      </c>
      <c r="AJ142" s="94">
        <f t="shared" ref="AJ142:AJ173" si="133">IF(G142="",0,(AM142+AL142+AQ142+AP142+AO142+AN142))</f>
        <v>0</v>
      </c>
      <c r="AK142" s="94">
        <f t="shared" ref="AK142:AK173" si="134">IFERROR(AJ142*M142,0)</f>
        <v>0</v>
      </c>
      <c r="AL142" s="94">
        <f>AUXILIAR!$BM$12</f>
        <v>1</v>
      </c>
      <c r="AM142" s="94">
        <f>IF($E$2="XADREZ",
     IFERROR(VLOOKUP(G142,AUXILIAR!AB:AC,2,TRUE),0),
     IF(AC139="SIM", 0, IFERROR(VLOOKUP(G142,AUXILIAR!AB:AC,2,TRUE),0))
)</f>
        <v>0</v>
      </c>
      <c r="AN142" s="124">
        <f t="shared" si="89"/>
        <v>0</v>
      </c>
      <c r="AO142" s="94">
        <f t="shared" ref="AO142:AO173" si="135">IFERROR(S142*$B$2,0)</f>
        <v>0</v>
      </c>
      <c r="AP142" s="94">
        <f t="shared" ref="AP142:AP173" si="136">IF(G142="",0,$C$2)</f>
        <v>0</v>
      </c>
      <c r="AQ142" s="124">
        <f>IFERROR(INDEX(AUXILIAR!$AG$3:$AG$28,MATCH(G142,AUXILIAR!$AH$3:$AH$28,1))*AM142,0)</f>
        <v>0</v>
      </c>
      <c r="AR142" s="99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37">IF(OR(D142="Q",D142="R"),(H142*I142),IF(D142="T",(H142*I142)/2,IF(D142="TP",((H142+I142)*J142)/2,IF(D142="C",PI()*((H142/2)^2),""))))</f>
        <v/>
      </c>
      <c r="AT142" s="89" t="str">
        <f t="shared" ref="AT142:AT173" si="138">IFERROR(AS142*C142,"")</f>
        <v/>
      </c>
      <c r="AU142" s="89" t="str">
        <f t="shared" ref="AU142:AU173" si="139">IFERROR(AV142*C142,"")</f>
        <v/>
      </c>
      <c r="AV142" s="89" t="str">
        <f t="shared" ref="AV142:AV173" si="140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41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42">IF(OR(E142=0,F142=0),0,PI()*F142*E142)</f>
        <v>0</v>
      </c>
      <c r="AZ142" s="89">
        <f t="shared" ref="AZ142:AZ173" si="143">IFERROR(
IF(OR(E142=0,F142=0),0,
   IF($R142="LASER",
      IF($F142&lt;=$G142*1.5,$AX142*0.7,$AX142),
   IF($R142="PLASMA",
      IF($F142&lt;=$G142*2,$AX142*0.5,$AX142),
   0))),
0)</f>
        <v>0</v>
      </c>
      <c r="BA142" s="116">
        <f t="shared" ref="BA142:BA173" si="144">IFERROR(IF($AY142=0,0,$AY142/$AZ142),0)</f>
        <v>0</v>
      </c>
      <c r="BB142" s="116">
        <f t="shared" ref="BB142:BB173" si="145">IF(OR(E142=0,F142=0),0,
 IF(F142&lt;=4.75,5/60,
 IF(F142&lt;=9.5,7/60,
 10/60)))</f>
        <v>0</v>
      </c>
      <c r="BC142" s="116">
        <f t="shared" ref="BC142:BC173" si="146">IF(OR(E142=0,F142=0),0,$BA142+($BB142*$E142))</f>
        <v>0</v>
      </c>
      <c r="BD142" s="116">
        <f t="shared" si="94"/>
        <v>0</v>
      </c>
      <c r="BE142" s="89">
        <f t="shared" si="90"/>
        <v>0</v>
      </c>
      <c r="BF142" s="90">
        <f t="shared" si="91"/>
        <v>0.01</v>
      </c>
      <c r="BG142" s="90">
        <f t="shared" si="92"/>
        <v>3.3333333333333333E-2</v>
      </c>
      <c r="BH142" s="116">
        <f t="shared" si="93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3">
        <v>1200</v>
      </c>
      <c r="L143" s="121" t="str">
        <f t="shared" ref="L143:L200" si="147">IFERROR((AS143*G143*7.85)/1000000,"0")</f>
        <v>0</v>
      </c>
      <c r="M143" s="122">
        <f t="shared" ref="M143:M200" si="148">IFERROR(L143*C143,"0")</f>
        <v>0</v>
      </c>
      <c r="N143" s="90">
        <f t="shared" si="121"/>
        <v>0</v>
      </c>
      <c r="O143" s="123">
        <f>IF(L143="",0,IFERROR(IF($M$2="ESTUDO",BH143,N143)+INDEX(AUXILIAR!$AO$3:$AO$8,MATCH(L143,{0;2;5;10;20;50},1))*1440,IF(M143="ESTUDO",BH143,N143)))</f>
        <v>0</v>
      </c>
      <c r="P143" s="94">
        <f t="shared" si="122"/>
        <v>0</v>
      </c>
      <c r="Q143" s="94">
        <f t="shared" si="123"/>
        <v>0</v>
      </c>
      <c r="R143" s="91" t="s">
        <v>0</v>
      </c>
      <c r="S143" s="88">
        <f t="shared" si="124"/>
        <v>0</v>
      </c>
      <c r="T143" s="94">
        <f>((AM143/(1+AUXILIAR!$BJ$4))-((AM143/(1+AUXILIAR!$BJ$4))*AUXILIAR!$BK$4))-(((AM143/(1+AUXILIAR!$BJ$4))-((AM143/(1+AUXILIAR!$BJ$4))*AUXILIAR!$BK$4))*((AUXILIAR!$BL$4+AUXILIAR!$BM$4)))</f>
        <v>0</v>
      </c>
      <c r="U143" s="94">
        <f>((S143/(1+AUXILIAR!$BJ$7))-((S143/(1+AUXILIAR!$BJ$7))*AUXILIAR!$BK$7))-(((S143/(1+AUXILIAR!$BJ$7))-((S143/(1+AUXILIAR!$BJ$7))*AUXILIAR!$BK$7))*((AUXILIAR!$BL$7+AUXILIAR!$BM$7)))</f>
        <v>0</v>
      </c>
      <c r="V143" s="96">
        <f>AM143-(AM143/(1+AUXILIAR!$BJ$4))</f>
        <v>0</v>
      </c>
      <c r="W143" s="96">
        <f>(AM143-V143)*AUXILIAR!$BK$4</f>
        <v>0</v>
      </c>
      <c r="X143" s="96">
        <f>(AM143-V143-W143)*(AUXILIAR!$BL$4+AUXILIAR!$BM$4)</f>
        <v>0</v>
      </c>
      <c r="Y143" s="96">
        <f>X143-(X143/(1+AUXILIAR!$BJ$7))</f>
        <v>0</v>
      </c>
      <c r="Z143" s="96">
        <f>(S143-Y143)*AUXILIAR!$BK$7</f>
        <v>0</v>
      </c>
      <c r="AA143" s="96">
        <f>(S143-Y143-Z143)*(AUXILIAR!$BL$7+AUXILIAR!$BM$7)</f>
        <v>0</v>
      </c>
      <c r="AB143" s="97">
        <f t="shared" si="125"/>
        <v>0</v>
      </c>
      <c r="AC143" s="97">
        <f t="shared" si="126"/>
        <v>0</v>
      </c>
      <c r="AD143" s="97">
        <f t="shared" si="127"/>
        <v>0</v>
      </c>
      <c r="AE143" s="97">
        <f t="shared" si="128"/>
        <v>0</v>
      </c>
      <c r="AF143" s="97">
        <f t="shared" si="129"/>
        <v>0</v>
      </c>
      <c r="AG143" s="96">
        <f t="shared" si="130"/>
        <v>-1</v>
      </c>
      <c r="AH143" s="94">
        <f t="shared" si="131"/>
        <v>0</v>
      </c>
      <c r="AI143" s="98">
        <f t="shared" si="132"/>
        <v>0</v>
      </c>
      <c r="AJ143" s="94">
        <f t="shared" si="133"/>
        <v>0</v>
      </c>
      <c r="AK143" s="94">
        <f t="shared" si="134"/>
        <v>0</v>
      </c>
      <c r="AL143" s="94">
        <f>AUXILIAR!$BM$12</f>
        <v>1</v>
      </c>
      <c r="AM143" s="94">
        <f>IF($E$2="XADREZ",
     IFERROR(VLOOKUP(G143,AUXILIAR!AB:AC,2,TRUE),0),
     IF(AC140="SIM", 0, IFERROR(VLOOKUP(G143,AUXILIAR!AB:AC,2,TRUE),0))
)</f>
        <v>0</v>
      </c>
      <c r="AN143" s="124">
        <f t="shared" ref="AN143:AN200" si="149">ABS(AE143)</f>
        <v>0</v>
      </c>
      <c r="AO143" s="94">
        <f t="shared" si="135"/>
        <v>0</v>
      </c>
      <c r="AP143" s="94">
        <f t="shared" si="136"/>
        <v>0</v>
      </c>
      <c r="AQ143" s="124">
        <f>IFERROR(INDEX(AUXILIAR!$AG$3:$AG$28,MATCH(G143,AUXILIAR!$AH$3:$AH$28,1))*AM143,0)</f>
        <v>0</v>
      </c>
      <c r="AR143" s="99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37"/>
        <v/>
      </c>
      <c r="AT143" s="89" t="str">
        <f t="shared" si="138"/>
        <v/>
      </c>
      <c r="AU143" s="89" t="str">
        <f t="shared" si="139"/>
        <v/>
      </c>
      <c r="AV143" s="89" t="str">
        <f t="shared" si="140"/>
        <v/>
      </c>
      <c r="AW143" s="89" t="str">
        <f t="shared" si="141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42"/>
        <v>0</v>
      </c>
      <c r="AZ143" s="89">
        <f t="shared" si="143"/>
        <v>0</v>
      </c>
      <c r="BA143" s="116">
        <f t="shared" si="144"/>
        <v>0</v>
      </c>
      <c r="BB143" s="116">
        <f t="shared" si="145"/>
        <v>0</v>
      </c>
      <c r="BC143" s="116">
        <f t="shared" si="146"/>
        <v>0</v>
      </c>
      <c r="BD143" s="116">
        <f t="shared" si="94"/>
        <v>0</v>
      </c>
      <c r="BE143" s="89">
        <f t="shared" ref="BE143:BE200" si="150">AX143*BD143</f>
        <v>0</v>
      </c>
      <c r="BF143" s="90">
        <f t="shared" ref="BF143:BF200" si="151">(
1+E143
)*
IF(G143&lt;=1.5,0.6/60,
IF(G143&lt;=3,0.9/60,
IF(G143&lt;=6.35,1.5/60,
IF(G143&lt;=9.53,2.2/60,
IF(G143&lt;=12.7,3/60,4/60)))))</f>
        <v>0.01</v>
      </c>
      <c r="BG143" s="90">
        <f t="shared" ref="BG143:BG200" si="152">IF(AV143&lt;=800,0.8/60,IF(AV143&lt;=2000,1.2/60,2/60))</f>
        <v>3.3333333333333333E-2</v>
      </c>
      <c r="BH143" s="116">
        <f t="shared" ref="BH143:BH200" si="153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3">
        <v>1200</v>
      </c>
      <c r="L144" s="121" t="str">
        <f t="shared" si="147"/>
        <v>0</v>
      </c>
      <c r="M144" s="122">
        <f t="shared" si="148"/>
        <v>0</v>
      </c>
      <c r="N144" s="90">
        <f t="shared" si="121"/>
        <v>0</v>
      </c>
      <c r="O144" s="123">
        <f>IF(L144="",0,IFERROR(IF($M$2="ESTUDO",BH144,N144)+INDEX(AUXILIAR!$AO$3:$AO$8,MATCH(L144,{0;2;5;10;20;50},1))*1440,IF(M144="ESTUDO",BH144,N144)))</f>
        <v>0</v>
      </c>
      <c r="P144" s="94">
        <f t="shared" si="122"/>
        <v>0</v>
      </c>
      <c r="Q144" s="94">
        <f t="shared" si="123"/>
        <v>0</v>
      </c>
      <c r="R144" s="91" t="s">
        <v>0</v>
      </c>
      <c r="S144" s="88">
        <f t="shared" si="124"/>
        <v>0</v>
      </c>
      <c r="T144" s="94">
        <f>((AM144/(1+AUXILIAR!$BJ$4))-((AM144/(1+AUXILIAR!$BJ$4))*AUXILIAR!$BK$4))-(((AM144/(1+AUXILIAR!$BJ$4))-((AM144/(1+AUXILIAR!$BJ$4))*AUXILIAR!$BK$4))*((AUXILIAR!$BL$4+AUXILIAR!$BM$4)))</f>
        <v>0</v>
      </c>
      <c r="U144" s="94">
        <f>((S144/(1+AUXILIAR!$BJ$7))-((S144/(1+AUXILIAR!$BJ$7))*AUXILIAR!$BK$7))-(((S144/(1+AUXILIAR!$BJ$7))-((S144/(1+AUXILIAR!$BJ$7))*AUXILIAR!$BK$7))*((AUXILIAR!$BL$7+AUXILIAR!$BM$7)))</f>
        <v>0</v>
      </c>
      <c r="V144" s="96">
        <f>AM144-(AM144/(1+AUXILIAR!$BJ$4))</f>
        <v>0</v>
      </c>
      <c r="W144" s="96">
        <f>(AM144-V144)*AUXILIAR!$BK$4</f>
        <v>0</v>
      </c>
      <c r="X144" s="96">
        <f>(AM144-V144-W144)*(AUXILIAR!$BL$4+AUXILIAR!$BM$4)</f>
        <v>0</v>
      </c>
      <c r="Y144" s="96">
        <f>X144-(X144/(1+AUXILIAR!$BJ$7))</f>
        <v>0</v>
      </c>
      <c r="Z144" s="96">
        <f>(S144-Y144)*AUXILIAR!$BK$7</f>
        <v>0</v>
      </c>
      <c r="AA144" s="96">
        <f>(S144-Y144-Z144)*(AUXILIAR!$BL$7+AUXILIAR!$BM$7)</f>
        <v>0</v>
      </c>
      <c r="AB144" s="97">
        <f t="shared" si="125"/>
        <v>0</v>
      </c>
      <c r="AC144" s="97">
        <f t="shared" si="126"/>
        <v>0</v>
      </c>
      <c r="AD144" s="97">
        <f t="shared" si="127"/>
        <v>0</v>
      </c>
      <c r="AE144" s="97">
        <f t="shared" si="128"/>
        <v>0</v>
      </c>
      <c r="AF144" s="97">
        <f t="shared" si="129"/>
        <v>0</v>
      </c>
      <c r="AG144" s="96">
        <f t="shared" si="130"/>
        <v>-1</v>
      </c>
      <c r="AH144" s="94">
        <f t="shared" si="131"/>
        <v>0</v>
      </c>
      <c r="AI144" s="98">
        <f t="shared" si="132"/>
        <v>0</v>
      </c>
      <c r="AJ144" s="94">
        <f t="shared" si="133"/>
        <v>0</v>
      </c>
      <c r="AK144" s="94">
        <f t="shared" si="134"/>
        <v>0</v>
      </c>
      <c r="AL144" s="94">
        <f>AUXILIAR!$BM$12</f>
        <v>1</v>
      </c>
      <c r="AM144" s="94">
        <f>IF($E$2="XADREZ",
     IFERROR(VLOOKUP(G144,AUXILIAR!AB:AC,2,TRUE),0),
     IF(AC141="SIM", 0, IFERROR(VLOOKUP(G144,AUXILIAR!AB:AC,2,TRUE),0))
)</f>
        <v>0</v>
      </c>
      <c r="AN144" s="124">
        <f t="shared" si="149"/>
        <v>0</v>
      </c>
      <c r="AO144" s="94">
        <f t="shared" si="135"/>
        <v>0</v>
      </c>
      <c r="AP144" s="94">
        <f t="shared" si="136"/>
        <v>0</v>
      </c>
      <c r="AQ144" s="124">
        <f>IFERROR(INDEX(AUXILIAR!$AG$3:$AG$28,MATCH(G144,AUXILIAR!$AH$3:$AH$28,1))*AM144,0)</f>
        <v>0</v>
      </c>
      <c r="AR144" s="99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37"/>
        <v/>
      </c>
      <c r="AT144" s="89" t="str">
        <f t="shared" si="138"/>
        <v/>
      </c>
      <c r="AU144" s="89" t="str">
        <f t="shared" si="139"/>
        <v/>
      </c>
      <c r="AV144" s="89" t="str">
        <f t="shared" si="140"/>
        <v/>
      </c>
      <c r="AW144" s="89" t="str">
        <f t="shared" si="141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42"/>
        <v>0</v>
      </c>
      <c r="AZ144" s="89">
        <f t="shared" si="143"/>
        <v>0</v>
      </c>
      <c r="BA144" s="116">
        <f t="shared" si="144"/>
        <v>0</v>
      </c>
      <c r="BB144" s="116">
        <f t="shared" si="145"/>
        <v>0</v>
      </c>
      <c r="BC144" s="116">
        <f t="shared" si="146"/>
        <v>0</v>
      </c>
      <c r="BD144" s="116">
        <f t="shared" si="94"/>
        <v>0</v>
      </c>
      <c r="BE144" s="89">
        <f t="shared" si="150"/>
        <v>0</v>
      </c>
      <c r="BF144" s="90">
        <f t="shared" si="151"/>
        <v>0.01</v>
      </c>
      <c r="BG144" s="90">
        <f t="shared" si="152"/>
        <v>3.3333333333333333E-2</v>
      </c>
      <c r="BH144" s="116">
        <f t="shared" si="153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3">
        <v>1200</v>
      </c>
      <c r="L145" s="121" t="str">
        <f t="shared" si="147"/>
        <v>0</v>
      </c>
      <c r="M145" s="122">
        <f t="shared" si="148"/>
        <v>0</v>
      </c>
      <c r="N145" s="90">
        <f t="shared" si="121"/>
        <v>0</v>
      </c>
      <c r="O145" s="123">
        <f>IF(L145="",0,IFERROR(IF($M$2="ESTUDO",BH145,N145)+INDEX(AUXILIAR!$AO$3:$AO$8,MATCH(L145,{0;2;5;10;20;50},1))*1440,IF(M145="ESTUDO",BH145,N145)))</f>
        <v>0</v>
      </c>
      <c r="P145" s="94">
        <f t="shared" si="122"/>
        <v>0</v>
      </c>
      <c r="Q145" s="94">
        <f t="shared" si="123"/>
        <v>0</v>
      </c>
      <c r="R145" s="91" t="s">
        <v>0</v>
      </c>
      <c r="S145" s="88">
        <f t="shared" si="124"/>
        <v>0</v>
      </c>
      <c r="T145" s="94">
        <f>((AM145/(1+AUXILIAR!$BJ$4))-((AM145/(1+AUXILIAR!$BJ$4))*AUXILIAR!$BK$4))-(((AM145/(1+AUXILIAR!$BJ$4))-((AM145/(1+AUXILIAR!$BJ$4))*AUXILIAR!$BK$4))*((AUXILIAR!$BL$4+AUXILIAR!$BM$4)))</f>
        <v>0</v>
      </c>
      <c r="U145" s="94">
        <f>((S145/(1+AUXILIAR!$BJ$7))-((S145/(1+AUXILIAR!$BJ$7))*AUXILIAR!$BK$7))-(((S145/(1+AUXILIAR!$BJ$7))-((S145/(1+AUXILIAR!$BJ$7))*AUXILIAR!$BK$7))*((AUXILIAR!$BL$7+AUXILIAR!$BM$7)))</f>
        <v>0</v>
      </c>
      <c r="V145" s="96">
        <f>AM145-(AM145/(1+AUXILIAR!$BJ$4))</f>
        <v>0</v>
      </c>
      <c r="W145" s="96">
        <f>(AM145-V145)*AUXILIAR!$BK$4</f>
        <v>0</v>
      </c>
      <c r="X145" s="96">
        <f>(AM145-V145-W145)*(AUXILIAR!$BL$4+AUXILIAR!$BM$4)</f>
        <v>0</v>
      </c>
      <c r="Y145" s="96">
        <f>X145-(X145/(1+AUXILIAR!$BJ$7))</f>
        <v>0</v>
      </c>
      <c r="Z145" s="96">
        <f>(S145-Y145)*AUXILIAR!$BK$7</f>
        <v>0</v>
      </c>
      <c r="AA145" s="96">
        <f>(S145-Y145-Z145)*(AUXILIAR!$BL$7+AUXILIAR!$BM$7)</f>
        <v>0</v>
      </c>
      <c r="AB145" s="97">
        <f t="shared" si="125"/>
        <v>0</v>
      </c>
      <c r="AC145" s="97">
        <f t="shared" si="126"/>
        <v>0</v>
      </c>
      <c r="AD145" s="97">
        <f t="shared" si="127"/>
        <v>0</v>
      </c>
      <c r="AE145" s="97">
        <f t="shared" si="128"/>
        <v>0</v>
      </c>
      <c r="AF145" s="97">
        <f t="shared" si="129"/>
        <v>0</v>
      </c>
      <c r="AG145" s="96">
        <f t="shared" si="130"/>
        <v>-1</v>
      </c>
      <c r="AH145" s="94">
        <f t="shared" si="131"/>
        <v>0</v>
      </c>
      <c r="AI145" s="98">
        <f t="shared" si="132"/>
        <v>0</v>
      </c>
      <c r="AJ145" s="94">
        <f t="shared" si="133"/>
        <v>0</v>
      </c>
      <c r="AK145" s="94">
        <f t="shared" si="134"/>
        <v>0</v>
      </c>
      <c r="AL145" s="94">
        <f>AUXILIAR!$BM$12</f>
        <v>1</v>
      </c>
      <c r="AM145" s="94">
        <f>IF($E$2="XADREZ",
     IFERROR(VLOOKUP(G145,AUXILIAR!AB:AC,2,TRUE),0),
     IF(AC142="SIM", 0, IFERROR(VLOOKUP(G145,AUXILIAR!AB:AC,2,TRUE),0))
)</f>
        <v>0</v>
      </c>
      <c r="AN145" s="124">
        <f t="shared" si="149"/>
        <v>0</v>
      </c>
      <c r="AO145" s="94">
        <f t="shared" si="135"/>
        <v>0</v>
      </c>
      <c r="AP145" s="94">
        <f t="shared" si="136"/>
        <v>0</v>
      </c>
      <c r="AQ145" s="124">
        <f>IFERROR(INDEX(AUXILIAR!$AG$3:$AG$28,MATCH(G145,AUXILIAR!$AH$3:$AH$28,1))*AM145,0)</f>
        <v>0</v>
      </c>
      <c r="AR145" s="99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37"/>
        <v/>
      </c>
      <c r="AT145" s="89" t="str">
        <f t="shared" si="138"/>
        <v/>
      </c>
      <c r="AU145" s="89" t="str">
        <f t="shared" si="139"/>
        <v/>
      </c>
      <c r="AV145" s="89" t="str">
        <f t="shared" si="140"/>
        <v/>
      </c>
      <c r="AW145" s="89" t="str">
        <f t="shared" si="141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42"/>
        <v>0</v>
      </c>
      <c r="AZ145" s="89">
        <f t="shared" si="143"/>
        <v>0</v>
      </c>
      <c r="BA145" s="116">
        <f t="shared" si="144"/>
        <v>0</v>
      </c>
      <c r="BB145" s="116">
        <f t="shared" si="145"/>
        <v>0</v>
      </c>
      <c r="BC145" s="116">
        <f t="shared" si="146"/>
        <v>0</v>
      </c>
      <c r="BD145" s="116">
        <f t="shared" si="94"/>
        <v>0</v>
      </c>
      <c r="BE145" s="89">
        <f t="shared" si="150"/>
        <v>0</v>
      </c>
      <c r="BF145" s="90">
        <f t="shared" si="151"/>
        <v>0.01</v>
      </c>
      <c r="BG145" s="90">
        <f t="shared" si="152"/>
        <v>3.3333333333333333E-2</v>
      </c>
      <c r="BH145" s="116">
        <f t="shared" si="153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3">
        <v>1200</v>
      </c>
      <c r="L146" s="121" t="str">
        <f t="shared" si="147"/>
        <v>0</v>
      </c>
      <c r="M146" s="122">
        <f t="shared" si="148"/>
        <v>0</v>
      </c>
      <c r="N146" s="90">
        <f t="shared" si="121"/>
        <v>0</v>
      </c>
      <c r="O146" s="123">
        <f>IF(L146="",0,IFERROR(IF($M$2="ESTUDO",BH146,N146)+INDEX(AUXILIAR!$AO$3:$AO$8,MATCH(L146,{0;2;5;10;20;50},1))*1440,IF(M146="ESTUDO",BH146,N146)))</f>
        <v>0</v>
      </c>
      <c r="P146" s="94">
        <f t="shared" si="122"/>
        <v>0</v>
      </c>
      <c r="Q146" s="94">
        <f t="shared" si="123"/>
        <v>0</v>
      </c>
      <c r="R146" s="91" t="s">
        <v>0</v>
      </c>
      <c r="S146" s="88">
        <f t="shared" si="124"/>
        <v>0</v>
      </c>
      <c r="T146" s="94">
        <f>((AM146/(1+AUXILIAR!$BJ$4))-((AM146/(1+AUXILIAR!$BJ$4))*AUXILIAR!$BK$4))-(((AM146/(1+AUXILIAR!$BJ$4))-((AM146/(1+AUXILIAR!$BJ$4))*AUXILIAR!$BK$4))*((AUXILIAR!$BL$4+AUXILIAR!$BM$4)))</f>
        <v>0</v>
      </c>
      <c r="U146" s="94">
        <f>((S146/(1+AUXILIAR!$BJ$7))-((S146/(1+AUXILIAR!$BJ$7))*AUXILIAR!$BK$7))-(((S146/(1+AUXILIAR!$BJ$7))-((S146/(1+AUXILIAR!$BJ$7))*AUXILIAR!$BK$7))*((AUXILIAR!$BL$7+AUXILIAR!$BM$7)))</f>
        <v>0</v>
      </c>
      <c r="V146" s="96">
        <f>AM146-(AM146/(1+AUXILIAR!$BJ$4))</f>
        <v>0</v>
      </c>
      <c r="W146" s="96">
        <f>(AM146-V146)*AUXILIAR!$BK$4</f>
        <v>0</v>
      </c>
      <c r="X146" s="96">
        <f>(AM146-V146-W146)*(AUXILIAR!$BL$4+AUXILIAR!$BM$4)</f>
        <v>0</v>
      </c>
      <c r="Y146" s="96">
        <f>X146-(X146/(1+AUXILIAR!$BJ$7))</f>
        <v>0</v>
      </c>
      <c r="Z146" s="96">
        <f>(S146-Y146)*AUXILIAR!$BK$7</f>
        <v>0</v>
      </c>
      <c r="AA146" s="96">
        <f>(S146-Y146-Z146)*(AUXILIAR!$BL$7+AUXILIAR!$BM$7)</f>
        <v>0</v>
      </c>
      <c r="AB146" s="97">
        <f t="shared" si="125"/>
        <v>0</v>
      </c>
      <c r="AC146" s="97">
        <f t="shared" si="126"/>
        <v>0</v>
      </c>
      <c r="AD146" s="97">
        <f t="shared" si="127"/>
        <v>0</v>
      </c>
      <c r="AE146" s="97">
        <f t="shared" si="128"/>
        <v>0</v>
      </c>
      <c r="AF146" s="97">
        <f t="shared" si="129"/>
        <v>0</v>
      </c>
      <c r="AG146" s="96">
        <f t="shared" si="130"/>
        <v>-1</v>
      </c>
      <c r="AH146" s="94">
        <f t="shared" si="131"/>
        <v>0</v>
      </c>
      <c r="AI146" s="98">
        <f t="shared" si="132"/>
        <v>0</v>
      </c>
      <c r="AJ146" s="94">
        <f t="shared" si="133"/>
        <v>0</v>
      </c>
      <c r="AK146" s="94">
        <f t="shared" si="134"/>
        <v>0</v>
      </c>
      <c r="AL146" s="94">
        <f>AUXILIAR!$BM$12</f>
        <v>1</v>
      </c>
      <c r="AM146" s="94">
        <f>IF($E$2="XADREZ",
     IFERROR(VLOOKUP(G146,AUXILIAR!AB:AC,2,TRUE),0),
     IF(AC143="SIM", 0, IFERROR(VLOOKUP(G146,AUXILIAR!AB:AC,2,TRUE),0))
)</f>
        <v>0</v>
      </c>
      <c r="AN146" s="124">
        <f t="shared" si="149"/>
        <v>0</v>
      </c>
      <c r="AO146" s="94">
        <f t="shared" si="135"/>
        <v>0</v>
      </c>
      <c r="AP146" s="94">
        <f t="shared" si="136"/>
        <v>0</v>
      </c>
      <c r="AQ146" s="124">
        <f>IFERROR(INDEX(AUXILIAR!$AG$3:$AG$28,MATCH(G146,AUXILIAR!$AH$3:$AH$28,1))*AM146,0)</f>
        <v>0</v>
      </c>
      <c r="AR146" s="99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37"/>
        <v/>
      </c>
      <c r="AT146" s="89" t="str">
        <f t="shared" si="138"/>
        <v/>
      </c>
      <c r="AU146" s="89" t="str">
        <f t="shared" si="139"/>
        <v/>
      </c>
      <c r="AV146" s="89" t="str">
        <f t="shared" si="140"/>
        <v/>
      </c>
      <c r="AW146" s="89" t="str">
        <f t="shared" si="141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42"/>
        <v>0</v>
      </c>
      <c r="AZ146" s="89">
        <f t="shared" si="143"/>
        <v>0</v>
      </c>
      <c r="BA146" s="116">
        <f t="shared" si="144"/>
        <v>0</v>
      </c>
      <c r="BB146" s="116">
        <f t="shared" si="145"/>
        <v>0</v>
      </c>
      <c r="BC146" s="116">
        <f t="shared" si="146"/>
        <v>0</v>
      </c>
      <c r="BD146" s="116">
        <f t="shared" si="94"/>
        <v>0</v>
      </c>
      <c r="BE146" s="89">
        <f t="shared" si="150"/>
        <v>0</v>
      </c>
      <c r="BF146" s="90">
        <f t="shared" si="151"/>
        <v>0.01</v>
      </c>
      <c r="BG146" s="90">
        <f t="shared" si="152"/>
        <v>3.3333333333333333E-2</v>
      </c>
      <c r="BH146" s="116">
        <f t="shared" si="153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3">
        <v>1200</v>
      </c>
      <c r="L147" s="121" t="str">
        <f t="shared" si="147"/>
        <v>0</v>
      </c>
      <c r="M147" s="122">
        <f t="shared" si="148"/>
        <v>0</v>
      </c>
      <c r="N147" s="90">
        <f t="shared" si="121"/>
        <v>0</v>
      </c>
      <c r="O147" s="123">
        <f>IF(L147="",0,IFERROR(IF($M$2="ESTUDO",BH147,N147)+INDEX(AUXILIAR!$AO$3:$AO$8,MATCH(L147,{0;2;5;10;20;50},1))*1440,IF(M147="ESTUDO",BH147,N147)))</f>
        <v>0</v>
      </c>
      <c r="P147" s="94">
        <f t="shared" si="122"/>
        <v>0</v>
      </c>
      <c r="Q147" s="94">
        <f t="shared" si="123"/>
        <v>0</v>
      </c>
      <c r="R147" s="91" t="s">
        <v>0</v>
      </c>
      <c r="S147" s="88">
        <f t="shared" si="124"/>
        <v>0</v>
      </c>
      <c r="T147" s="94">
        <f>((AM147/(1+AUXILIAR!$BJ$4))-((AM147/(1+AUXILIAR!$BJ$4))*AUXILIAR!$BK$4))-(((AM147/(1+AUXILIAR!$BJ$4))-((AM147/(1+AUXILIAR!$BJ$4))*AUXILIAR!$BK$4))*((AUXILIAR!$BL$4+AUXILIAR!$BM$4)))</f>
        <v>0</v>
      </c>
      <c r="U147" s="94">
        <f>((S147/(1+AUXILIAR!$BJ$7))-((S147/(1+AUXILIAR!$BJ$7))*AUXILIAR!$BK$7))-(((S147/(1+AUXILIAR!$BJ$7))-((S147/(1+AUXILIAR!$BJ$7))*AUXILIAR!$BK$7))*((AUXILIAR!$BL$7+AUXILIAR!$BM$7)))</f>
        <v>0</v>
      </c>
      <c r="V147" s="96">
        <f>AM147-(AM147/(1+AUXILIAR!$BJ$4))</f>
        <v>0</v>
      </c>
      <c r="W147" s="96">
        <f>(AM147-V147)*AUXILIAR!$BK$4</f>
        <v>0</v>
      </c>
      <c r="X147" s="96">
        <f>(AM147-V147-W147)*(AUXILIAR!$BL$4+AUXILIAR!$BM$4)</f>
        <v>0</v>
      </c>
      <c r="Y147" s="96">
        <f>X147-(X147/(1+AUXILIAR!$BJ$7))</f>
        <v>0</v>
      </c>
      <c r="Z147" s="96">
        <f>(S147-Y147)*AUXILIAR!$BK$7</f>
        <v>0</v>
      </c>
      <c r="AA147" s="96">
        <f>(S147-Y147-Z147)*(AUXILIAR!$BL$7+AUXILIAR!$BM$7)</f>
        <v>0</v>
      </c>
      <c r="AB147" s="97">
        <f t="shared" si="125"/>
        <v>0</v>
      </c>
      <c r="AC147" s="97">
        <f t="shared" si="126"/>
        <v>0</v>
      </c>
      <c r="AD147" s="97">
        <f t="shared" si="127"/>
        <v>0</v>
      </c>
      <c r="AE147" s="97">
        <f t="shared" si="128"/>
        <v>0</v>
      </c>
      <c r="AF147" s="97">
        <f t="shared" si="129"/>
        <v>0</v>
      </c>
      <c r="AG147" s="96">
        <f t="shared" si="130"/>
        <v>-1</v>
      </c>
      <c r="AH147" s="94">
        <f t="shared" si="131"/>
        <v>0</v>
      </c>
      <c r="AI147" s="98">
        <f t="shared" si="132"/>
        <v>0</v>
      </c>
      <c r="AJ147" s="94">
        <f t="shared" si="133"/>
        <v>0</v>
      </c>
      <c r="AK147" s="94">
        <f t="shared" si="134"/>
        <v>0</v>
      </c>
      <c r="AL147" s="94">
        <f>AUXILIAR!$BM$12</f>
        <v>1</v>
      </c>
      <c r="AM147" s="94">
        <f>IF($E$2="XADREZ",
     IFERROR(VLOOKUP(G147,AUXILIAR!AB:AC,2,TRUE),0),
     IF(AC144="SIM", 0, IFERROR(VLOOKUP(G147,AUXILIAR!AB:AC,2,TRUE),0))
)</f>
        <v>0</v>
      </c>
      <c r="AN147" s="124">
        <f t="shared" si="149"/>
        <v>0</v>
      </c>
      <c r="AO147" s="94">
        <f t="shared" si="135"/>
        <v>0</v>
      </c>
      <c r="AP147" s="94">
        <f t="shared" si="136"/>
        <v>0</v>
      </c>
      <c r="AQ147" s="124">
        <f>IFERROR(INDEX(AUXILIAR!$AG$3:$AG$28,MATCH(G147,AUXILIAR!$AH$3:$AH$28,1))*AM147,0)</f>
        <v>0</v>
      </c>
      <c r="AR147" s="99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37"/>
        <v/>
      </c>
      <c r="AT147" s="89" t="str">
        <f t="shared" si="138"/>
        <v/>
      </c>
      <c r="AU147" s="89" t="str">
        <f t="shared" si="139"/>
        <v/>
      </c>
      <c r="AV147" s="89" t="str">
        <f t="shared" si="140"/>
        <v/>
      </c>
      <c r="AW147" s="89" t="str">
        <f t="shared" si="141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42"/>
        <v>0</v>
      </c>
      <c r="AZ147" s="89">
        <f t="shared" si="143"/>
        <v>0</v>
      </c>
      <c r="BA147" s="116">
        <f t="shared" si="144"/>
        <v>0</v>
      </c>
      <c r="BB147" s="116">
        <f t="shared" si="145"/>
        <v>0</v>
      </c>
      <c r="BC147" s="116">
        <f t="shared" si="146"/>
        <v>0</v>
      </c>
      <c r="BD147" s="116">
        <f t="shared" si="94"/>
        <v>0</v>
      </c>
      <c r="BE147" s="89">
        <f t="shared" si="150"/>
        <v>0</v>
      </c>
      <c r="BF147" s="90">
        <f t="shared" si="151"/>
        <v>0.01</v>
      </c>
      <c r="BG147" s="90">
        <f t="shared" si="152"/>
        <v>3.3333333333333333E-2</v>
      </c>
      <c r="BH147" s="116">
        <f t="shared" si="153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3">
        <v>1200</v>
      </c>
      <c r="L148" s="121" t="str">
        <f t="shared" si="147"/>
        <v>0</v>
      </c>
      <c r="M148" s="122">
        <f t="shared" si="148"/>
        <v>0</v>
      </c>
      <c r="N148" s="90">
        <f t="shared" si="121"/>
        <v>0</v>
      </c>
      <c r="O148" s="123">
        <f>IF(L148="",0,IFERROR(IF($M$2="ESTUDO",BH148,N148)+INDEX(AUXILIAR!$AO$3:$AO$8,MATCH(L148,{0;2;5;10;20;50},1))*1440,IF(M148="ESTUDO",BH148,N148)))</f>
        <v>0</v>
      </c>
      <c r="P148" s="94">
        <f t="shared" si="122"/>
        <v>0</v>
      </c>
      <c r="Q148" s="94">
        <f t="shared" si="123"/>
        <v>0</v>
      </c>
      <c r="R148" s="91" t="s">
        <v>0</v>
      </c>
      <c r="S148" s="88">
        <f t="shared" si="124"/>
        <v>0</v>
      </c>
      <c r="T148" s="94">
        <f>((AM148/(1+AUXILIAR!$BJ$4))-((AM148/(1+AUXILIAR!$BJ$4))*AUXILIAR!$BK$4))-(((AM148/(1+AUXILIAR!$BJ$4))-((AM148/(1+AUXILIAR!$BJ$4))*AUXILIAR!$BK$4))*((AUXILIAR!$BL$4+AUXILIAR!$BM$4)))</f>
        <v>0</v>
      </c>
      <c r="U148" s="94">
        <f>((S148/(1+AUXILIAR!$BJ$7))-((S148/(1+AUXILIAR!$BJ$7))*AUXILIAR!$BK$7))-(((S148/(1+AUXILIAR!$BJ$7))-((S148/(1+AUXILIAR!$BJ$7))*AUXILIAR!$BK$7))*((AUXILIAR!$BL$7+AUXILIAR!$BM$7)))</f>
        <v>0</v>
      </c>
      <c r="V148" s="96">
        <f>AM148-(AM148/(1+AUXILIAR!$BJ$4))</f>
        <v>0</v>
      </c>
      <c r="W148" s="96">
        <f>(AM148-V148)*AUXILIAR!$BK$4</f>
        <v>0</v>
      </c>
      <c r="X148" s="96">
        <f>(AM148-V148-W148)*(AUXILIAR!$BL$4+AUXILIAR!$BM$4)</f>
        <v>0</v>
      </c>
      <c r="Y148" s="96">
        <f>X148-(X148/(1+AUXILIAR!$BJ$7))</f>
        <v>0</v>
      </c>
      <c r="Z148" s="96">
        <f>(S148-Y148)*AUXILIAR!$BK$7</f>
        <v>0</v>
      </c>
      <c r="AA148" s="96">
        <f>(S148-Y148-Z148)*(AUXILIAR!$BL$7+AUXILIAR!$BM$7)</f>
        <v>0</v>
      </c>
      <c r="AB148" s="97">
        <f t="shared" si="125"/>
        <v>0</v>
      </c>
      <c r="AC148" s="97">
        <f t="shared" si="126"/>
        <v>0</v>
      </c>
      <c r="AD148" s="97">
        <f t="shared" si="127"/>
        <v>0</v>
      </c>
      <c r="AE148" s="97">
        <f t="shared" si="128"/>
        <v>0</v>
      </c>
      <c r="AF148" s="97">
        <f t="shared" si="129"/>
        <v>0</v>
      </c>
      <c r="AG148" s="96">
        <f t="shared" si="130"/>
        <v>-1</v>
      </c>
      <c r="AH148" s="94">
        <f t="shared" si="131"/>
        <v>0</v>
      </c>
      <c r="AI148" s="98">
        <f t="shared" si="132"/>
        <v>0</v>
      </c>
      <c r="AJ148" s="94">
        <f t="shared" si="133"/>
        <v>0</v>
      </c>
      <c r="AK148" s="94">
        <f t="shared" si="134"/>
        <v>0</v>
      </c>
      <c r="AL148" s="94">
        <f>AUXILIAR!$BM$12</f>
        <v>1</v>
      </c>
      <c r="AM148" s="94">
        <f>IF($E$2="XADREZ",
     IFERROR(VLOOKUP(G148,AUXILIAR!AB:AC,2,TRUE),0),
     IF(AC145="SIM", 0, IFERROR(VLOOKUP(G148,AUXILIAR!AB:AC,2,TRUE),0))
)</f>
        <v>0</v>
      </c>
      <c r="AN148" s="124">
        <f t="shared" si="149"/>
        <v>0</v>
      </c>
      <c r="AO148" s="94">
        <f t="shared" si="135"/>
        <v>0</v>
      </c>
      <c r="AP148" s="94">
        <f t="shared" si="136"/>
        <v>0</v>
      </c>
      <c r="AQ148" s="124">
        <f>IFERROR(INDEX(AUXILIAR!$AG$3:$AG$28,MATCH(G148,AUXILIAR!$AH$3:$AH$28,1))*AM148,0)</f>
        <v>0</v>
      </c>
      <c r="AR148" s="99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37"/>
        <v/>
      </c>
      <c r="AT148" s="89" t="str">
        <f t="shared" si="138"/>
        <v/>
      </c>
      <c r="AU148" s="89" t="str">
        <f t="shared" si="139"/>
        <v/>
      </c>
      <c r="AV148" s="89" t="str">
        <f t="shared" si="140"/>
        <v/>
      </c>
      <c r="AW148" s="89" t="str">
        <f t="shared" si="141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42"/>
        <v>0</v>
      </c>
      <c r="AZ148" s="89">
        <f t="shared" si="143"/>
        <v>0</v>
      </c>
      <c r="BA148" s="116">
        <f t="shared" si="144"/>
        <v>0</v>
      </c>
      <c r="BB148" s="116">
        <f t="shared" si="145"/>
        <v>0</v>
      </c>
      <c r="BC148" s="116">
        <f t="shared" si="146"/>
        <v>0</v>
      </c>
      <c r="BD148" s="116">
        <f t="shared" si="94"/>
        <v>0</v>
      </c>
      <c r="BE148" s="89">
        <f t="shared" si="150"/>
        <v>0</v>
      </c>
      <c r="BF148" s="90">
        <f t="shared" si="151"/>
        <v>0.01</v>
      </c>
      <c r="BG148" s="90">
        <f t="shared" si="152"/>
        <v>3.3333333333333333E-2</v>
      </c>
      <c r="BH148" s="116">
        <f t="shared" si="153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3">
        <v>1200</v>
      </c>
      <c r="L149" s="121" t="str">
        <f t="shared" si="147"/>
        <v>0</v>
      </c>
      <c r="M149" s="122">
        <f t="shared" si="148"/>
        <v>0</v>
      </c>
      <c r="N149" s="90">
        <f t="shared" si="121"/>
        <v>0</v>
      </c>
      <c r="O149" s="123">
        <f>IF(L149="",0,IFERROR(IF($M$2="ESTUDO",BH149,N149)+INDEX(AUXILIAR!$AO$3:$AO$8,MATCH(L149,{0;2;5;10;20;50},1))*1440,IF(M149="ESTUDO",BH149,N149)))</f>
        <v>0</v>
      </c>
      <c r="P149" s="94">
        <f t="shared" si="122"/>
        <v>0</v>
      </c>
      <c r="Q149" s="94">
        <f t="shared" si="123"/>
        <v>0</v>
      </c>
      <c r="R149" s="91" t="s">
        <v>0</v>
      </c>
      <c r="S149" s="88">
        <f t="shared" si="124"/>
        <v>0</v>
      </c>
      <c r="T149" s="94">
        <f>((AM149/(1+AUXILIAR!$BJ$4))-((AM149/(1+AUXILIAR!$BJ$4))*AUXILIAR!$BK$4))-(((AM149/(1+AUXILIAR!$BJ$4))-((AM149/(1+AUXILIAR!$BJ$4))*AUXILIAR!$BK$4))*((AUXILIAR!$BL$4+AUXILIAR!$BM$4)))</f>
        <v>0</v>
      </c>
      <c r="U149" s="94">
        <f>((S149/(1+AUXILIAR!$BJ$7))-((S149/(1+AUXILIAR!$BJ$7))*AUXILIAR!$BK$7))-(((S149/(1+AUXILIAR!$BJ$7))-((S149/(1+AUXILIAR!$BJ$7))*AUXILIAR!$BK$7))*((AUXILIAR!$BL$7+AUXILIAR!$BM$7)))</f>
        <v>0</v>
      </c>
      <c r="V149" s="96">
        <f>AM149-(AM149/(1+AUXILIAR!$BJ$4))</f>
        <v>0</v>
      </c>
      <c r="W149" s="96">
        <f>(AM149-V149)*AUXILIAR!$BK$4</f>
        <v>0</v>
      </c>
      <c r="X149" s="96">
        <f>(AM149-V149-W149)*(AUXILIAR!$BL$4+AUXILIAR!$BM$4)</f>
        <v>0</v>
      </c>
      <c r="Y149" s="96">
        <f>X149-(X149/(1+AUXILIAR!$BJ$7))</f>
        <v>0</v>
      </c>
      <c r="Z149" s="96">
        <f>(S149-Y149)*AUXILIAR!$BK$7</f>
        <v>0</v>
      </c>
      <c r="AA149" s="96">
        <f>(S149-Y149-Z149)*(AUXILIAR!$BL$7+AUXILIAR!$BM$7)</f>
        <v>0</v>
      </c>
      <c r="AB149" s="97">
        <f t="shared" si="125"/>
        <v>0</v>
      </c>
      <c r="AC149" s="97">
        <f t="shared" si="126"/>
        <v>0</v>
      </c>
      <c r="AD149" s="97">
        <f t="shared" si="127"/>
        <v>0</v>
      </c>
      <c r="AE149" s="97">
        <f t="shared" si="128"/>
        <v>0</v>
      </c>
      <c r="AF149" s="97">
        <f t="shared" si="129"/>
        <v>0</v>
      </c>
      <c r="AG149" s="96">
        <f t="shared" si="130"/>
        <v>-1</v>
      </c>
      <c r="AH149" s="94">
        <f t="shared" si="131"/>
        <v>0</v>
      </c>
      <c r="AI149" s="98">
        <f t="shared" si="132"/>
        <v>0</v>
      </c>
      <c r="AJ149" s="94">
        <f t="shared" si="133"/>
        <v>0</v>
      </c>
      <c r="AK149" s="94">
        <f t="shared" si="134"/>
        <v>0</v>
      </c>
      <c r="AL149" s="94">
        <f>AUXILIAR!$BM$12</f>
        <v>1</v>
      </c>
      <c r="AM149" s="94">
        <f>IF($E$2="XADREZ",
     IFERROR(VLOOKUP(G149,AUXILIAR!AB:AC,2,TRUE),0),
     IF(AC146="SIM", 0, IFERROR(VLOOKUP(G149,AUXILIAR!AB:AC,2,TRUE),0))
)</f>
        <v>0</v>
      </c>
      <c r="AN149" s="124">
        <f t="shared" si="149"/>
        <v>0</v>
      </c>
      <c r="AO149" s="94">
        <f t="shared" si="135"/>
        <v>0</v>
      </c>
      <c r="AP149" s="94">
        <f t="shared" si="136"/>
        <v>0</v>
      </c>
      <c r="AQ149" s="124">
        <f>IFERROR(INDEX(AUXILIAR!$AG$3:$AG$28,MATCH(G149,AUXILIAR!$AH$3:$AH$28,1))*AM149,0)</f>
        <v>0</v>
      </c>
      <c r="AR149" s="99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37"/>
        <v/>
      </c>
      <c r="AT149" s="89" t="str">
        <f t="shared" si="138"/>
        <v/>
      </c>
      <c r="AU149" s="89" t="str">
        <f t="shared" si="139"/>
        <v/>
      </c>
      <c r="AV149" s="89" t="str">
        <f t="shared" si="140"/>
        <v/>
      </c>
      <c r="AW149" s="89" t="str">
        <f t="shared" si="141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42"/>
        <v>0</v>
      </c>
      <c r="AZ149" s="89">
        <f t="shared" si="143"/>
        <v>0</v>
      </c>
      <c r="BA149" s="116">
        <f t="shared" si="144"/>
        <v>0</v>
      </c>
      <c r="BB149" s="116">
        <f t="shared" si="145"/>
        <v>0</v>
      </c>
      <c r="BC149" s="116">
        <f t="shared" si="146"/>
        <v>0</v>
      </c>
      <c r="BD149" s="116">
        <f t="shared" si="94"/>
        <v>0</v>
      </c>
      <c r="BE149" s="89">
        <f t="shared" si="150"/>
        <v>0</v>
      </c>
      <c r="BF149" s="90">
        <f t="shared" si="151"/>
        <v>0.01</v>
      </c>
      <c r="BG149" s="90">
        <f t="shared" si="152"/>
        <v>3.3333333333333333E-2</v>
      </c>
      <c r="BH149" s="116">
        <f t="shared" si="153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3">
        <v>1200</v>
      </c>
      <c r="L150" s="121" t="str">
        <f t="shared" si="147"/>
        <v>0</v>
      </c>
      <c r="M150" s="122">
        <f t="shared" si="148"/>
        <v>0</v>
      </c>
      <c r="N150" s="90">
        <f t="shared" si="121"/>
        <v>0</v>
      </c>
      <c r="O150" s="123">
        <f>IF(L150="",0,IFERROR(IF($M$2="ESTUDO",BH150,N150)+INDEX(AUXILIAR!$AO$3:$AO$8,MATCH(L150,{0;2;5;10;20;50},1))*1440,IF(M150="ESTUDO",BH150,N150)))</f>
        <v>0</v>
      </c>
      <c r="P150" s="94">
        <f t="shared" si="122"/>
        <v>0</v>
      </c>
      <c r="Q150" s="94">
        <f t="shared" si="123"/>
        <v>0</v>
      </c>
      <c r="R150" s="91" t="s">
        <v>0</v>
      </c>
      <c r="S150" s="88">
        <f t="shared" si="124"/>
        <v>0</v>
      </c>
      <c r="T150" s="94">
        <f>((AM150/(1+AUXILIAR!$BJ$4))-((AM150/(1+AUXILIAR!$BJ$4))*AUXILIAR!$BK$4))-(((AM150/(1+AUXILIAR!$BJ$4))-((AM150/(1+AUXILIAR!$BJ$4))*AUXILIAR!$BK$4))*((AUXILIAR!$BL$4+AUXILIAR!$BM$4)))</f>
        <v>0</v>
      </c>
      <c r="U150" s="94">
        <f>((S150/(1+AUXILIAR!$BJ$7))-((S150/(1+AUXILIAR!$BJ$7))*AUXILIAR!$BK$7))-(((S150/(1+AUXILIAR!$BJ$7))-((S150/(1+AUXILIAR!$BJ$7))*AUXILIAR!$BK$7))*((AUXILIAR!$BL$7+AUXILIAR!$BM$7)))</f>
        <v>0</v>
      </c>
      <c r="V150" s="96">
        <f>AM150-(AM150/(1+AUXILIAR!$BJ$4))</f>
        <v>0</v>
      </c>
      <c r="W150" s="96">
        <f>(AM150-V150)*AUXILIAR!$BK$4</f>
        <v>0</v>
      </c>
      <c r="X150" s="96">
        <f>(AM150-V150-W150)*(AUXILIAR!$BL$4+AUXILIAR!$BM$4)</f>
        <v>0</v>
      </c>
      <c r="Y150" s="96">
        <f>X150-(X150/(1+AUXILIAR!$BJ$7))</f>
        <v>0</v>
      </c>
      <c r="Z150" s="96">
        <f>(S150-Y150)*AUXILIAR!$BK$7</f>
        <v>0</v>
      </c>
      <c r="AA150" s="96">
        <f>(S150-Y150-Z150)*(AUXILIAR!$BL$7+AUXILIAR!$BM$7)</f>
        <v>0</v>
      </c>
      <c r="AB150" s="97">
        <f t="shared" si="125"/>
        <v>0</v>
      </c>
      <c r="AC150" s="97">
        <f t="shared" si="126"/>
        <v>0</v>
      </c>
      <c r="AD150" s="97">
        <f t="shared" si="127"/>
        <v>0</v>
      </c>
      <c r="AE150" s="97">
        <f t="shared" si="128"/>
        <v>0</v>
      </c>
      <c r="AF150" s="97">
        <f t="shared" si="129"/>
        <v>0</v>
      </c>
      <c r="AG150" s="96">
        <f t="shared" si="130"/>
        <v>-1</v>
      </c>
      <c r="AH150" s="94">
        <f t="shared" si="131"/>
        <v>0</v>
      </c>
      <c r="AI150" s="98">
        <f t="shared" si="132"/>
        <v>0</v>
      </c>
      <c r="AJ150" s="94">
        <f t="shared" si="133"/>
        <v>0</v>
      </c>
      <c r="AK150" s="94">
        <f t="shared" si="134"/>
        <v>0</v>
      </c>
      <c r="AL150" s="94">
        <f>AUXILIAR!$BM$12</f>
        <v>1</v>
      </c>
      <c r="AM150" s="94">
        <f>IF($E$2="XADREZ",
     IFERROR(VLOOKUP(G150,AUXILIAR!AB:AC,2,TRUE),0),
     IF(AC147="SIM", 0, IFERROR(VLOOKUP(G150,AUXILIAR!AB:AC,2,TRUE),0))
)</f>
        <v>0</v>
      </c>
      <c r="AN150" s="124">
        <f t="shared" si="149"/>
        <v>0</v>
      </c>
      <c r="AO150" s="94">
        <f t="shared" si="135"/>
        <v>0</v>
      </c>
      <c r="AP150" s="94">
        <f t="shared" si="136"/>
        <v>0</v>
      </c>
      <c r="AQ150" s="124">
        <f>IFERROR(INDEX(AUXILIAR!$AG$3:$AG$28,MATCH(G150,AUXILIAR!$AH$3:$AH$28,1))*AM150,0)</f>
        <v>0</v>
      </c>
      <c r="AR150" s="99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37"/>
        <v/>
      </c>
      <c r="AT150" s="89" t="str">
        <f t="shared" si="138"/>
        <v/>
      </c>
      <c r="AU150" s="89" t="str">
        <f t="shared" si="139"/>
        <v/>
      </c>
      <c r="AV150" s="89" t="str">
        <f t="shared" si="140"/>
        <v/>
      </c>
      <c r="AW150" s="89" t="str">
        <f t="shared" si="141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42"/>
        <v>0</v>
      </c>
      <c r="AZ150" s="89">
        <f t="shared" si="143"/>
        <v>0</v>
      </c>
      <c r="BA150" s="116">
        <f t="shared" si="144"/>
        <v>0</v>
      </c>
      <c r="BB150" s="116">
        <f t="shared" si="145"/>
        <v>0</v>
      </c>
      <c r="BC150" s="116">
        <f t="shared" si="146"/>
        <v>0</v>
      </c>
      <c r="BD150" s="116">
        <f t="shared" si="94"/>
        <v>0</v>
      </c>
      <c r="BE150" s="89">
        <f t="shared" si="150"/>
        <v>0</v>
      </c>
      <c r="BF150" s="90">
        <f t="shared" si="151"/>
        <v>0.01</v>
      </c>
      <c r="BG150" s="90">
        <f t="shared" si="152"/>
        <v>3.3333333333333333E-2</v>
      </c>
      <c r="BH150" s="116">
        <f t="shared" si="153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3">
        <v>1200</v>
      </c>
      <c r="L151" s="121" t="str">
        <f t="shared" si="147"/>
        <v>0</v>
      </c>
      <c r="M151" s="122">
        <f t="shared" si="148"/>
        <v>0</v>
      </c>
      <c r="N151" s="90">
        <f t="shared" si="121"/>
        <v>0</v>
      </c>
      <c r="O151" s="123">
        <f>IF(L151="",0,IFERROR(IF($M$2="ESTUDO",BH151,N151)+INDEX(AUXILIAR!$AO$3:$AO$8,MATCH(L151,{0;2;5;10;20;50},1))*1440,IF(M151="ESTUDO",BH151,N151)))</f>
        <v>0</v>
      </c>
      <c r="P151" s="94">
        <f t="shared" si="122"/>
        <v>0</v>
      </c>
      <c r="Q151" s="94">
        <f t="shared" si="123"/>
        <v>0</v>
      </c>
      <c r="R151" s="91" t="s">
        <v>0</v>
      </c>
      <c r="S151" s="88">
        <f t="shared" si="124"/>
        <v>0</v>
      </c>
      <c r="T151" s="94">
        <f>((AM151/(1+AUXILIAR!$BJ$4))-((AM151/(1+AUXILIAR!$BJ$4))*AUXILIAR!$BK$4))-(((AM151/(1+AUXILIAR!$BJ$4))-((AM151/(1+AUXILIAR!$BJ$4))*AUXILIAR!$BK$4))*((AUXILIAR!$BL$4+AUXILIAR!$BM$4)))</f>
        <v>0</v>
      </c>
      <c r="U151" s="94">
        <f>((S151/(1+AUXILIAR!$BJ$7))-((S151/(1+AUXILIAR!$BJ$7))*AUXILIAR!$BK$7))-(((S151/(1+AUXILIAR!$BJ$7))-((S151/(1+AUXILIAR!$BJ$7))*AUXILIAR!$BK$7))*((AUXILIAR!$BL$7+AUXILIAR!$BM$7)))</f>
        <v>0</v>
      </c>
      <c r="V151" s="96">
        <f>AM151-(AM151/(1+AUXILIAR!$BJ$4))</f>
        <v>0</v>
      </c>
      <c r="W151" s="96">
        <f>(AM151-V151)*AUXILIAR!$BK$4</f>
        <v>0</v>
      </c>
      <c r="X151" s="96">
        <f>(AM151-V151-W151)*(AUXILIAR!$BL$4+AUXILIAR!$BM$4)</f>
        <v>0</v>
      </c>
      <c r="Y151" s="96">
        <f>X151-(X151/(1+AUXILIAR!$BJ$7))</f>
        <v>0</v>
      </c>
      <c r="Z151" s="96">
        <f>(S151-Y151)*AUXILIAR!$BK$7</f>
        <v>0</v>
      </c>
      <c r="AA151" s="96">
        <f>(S151-Y151-Z151)*(AUXILIAR!$BL$7+AUXILIAR!$BM$7)</f>
        <v>0</v>
      </c>
      <c r="AB151" s="97">
        <f t="shared" si="125"/>
        <v>0</v>
      </c>
      <c r="AC151" s="97">
        <f t="shared" si="126"/>
        <v>0</v>
      </c>
      <c r="AD151" s="97">
        <f t="shared" si="127"/>
        <v>0</v>
      </c>
      <c r="AE151" s="97">
        <f t="shared" si="128"/>
        <v>0</v>
      </c>
      <c r="AF151" s="97">
        <f t="shared" si="129"/>
        <v>0</v>
      </c>
      <c r="AG151" s="96">
        <f t="shared" si="130"/>
        <v>-1</v>
      </c>
      <c r="AH151" s="94">
        <f t="shared" si="131"/>
        <v>0</v>
      </c>
      <c r="AI151" s="98">
        <f t="shared" si="132"/>
        <v>0</v>
      </c>
      <c r="AJ151" s="94">
        <f t="shared" si="133"/>
        <v>0</v>
      </c>
      <c r="AK151" s="94">
        <f t="shared" si="134"/>
        <v>0</v>
      </c>
      <c r="AL151" s="94">
        <f>AUXILIAR!$BM$12</f>
        <v>1</v>
      </c>
      <c r="AM151" s="94">
        <f>IF($E$2="XADREZ",
     IFERROR(VLOOKUP(G151,AUXILIAR!AB:AC,2,TRUE),0),
     IF(AC148="SIM", 0, IFERROR(VLOOKUP(G151,AUXILIAR!AB:AC,2,TRUE),0))
)</f>
        <v>0</v>
      </c>
      <c r="AN151" s="124">
        <f t="shared" si="149"/>
        <v>0</v>
      </c>
      <c r="AO151" s="94">
        <f t="shared" si="135"/>
        <v>0</v>
      </c>
      <c r="AP151" s="94">
        <f t="shared" si="136"/>
        <v>0</v>
      </c>
      <c r="AQ151" s="124">
        <f>IFERROR(INDEX(AUXILIAR!$AG$3:$AG$28,MATCH(G151,AUXILIAR!$AH$3:$AH$28,1))*AM151,0)</f>
        <v>0</v>
      </c>
      <c r="AR151" s="99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37"/>
        <v/>
      </c>
      <c r="AT151" s="89" t="str">
        <f t="shared" si="138"/>
        <v/>
      </c>
      <c r="AU151" s="89" t="str">
        <f t="shared" si="139"/>
        <v/>
      </c>
      <c r="AV151" s="89" t="str">
        <f t="shared" si="140"/>
        <v/>
      </c>
      <c r="AW151" s="89" t="str">
        <f t="shared" si="141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42"/>
        <v>0</v>
      </c>
      <c r="AZ151" s="89">
        <f t="shared" si="143"/>
        <v>0</v>
      </c>
      <c r="BA151" s="116">
        <f t="shared" si="144"/>
        <v>0</v>
      </c>
      <c r="BB151" s="116">
        <f t="shared" si="145"/>
        <v>0</v>
      </c>
      <c r="BC151" s="116">
        <f t="shared" si="146"/>
        <v>0</v>
      </c>
      <c r="BD151" s="116">
        <f t="shared" ref="BD151:BD200" si="154">IF(OR(AW151="",ISBLANK(AW151)),0,IF(AV151&lt;=400,0.35,IF(AV151&lt;=800,0.45,IF(AV151&lt;=1500,0.6,IF(AV151&lt;=3000,0.75,0.85)))))</f>
        <v>0</v>
      </c>
      <c r="BE151" s="89">
        <f t="shared" si="150"/>
        <v>0</v>
      </c>
      <c r="BF151" s="90">
        <f t="shared" si="151"/>
        <v>0.01</v>
      </c>
      <c r="BG151" s="90">
        <f t="shared" si="152"/>
        <v>3.3333333333333333E-2</v>
      </c>
      <c r="BH151" s="116">
        <f t="shared" si="153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3">
        <v>1200</v>
      </c>
      <c r="L152" s="121" t="str">
        <f t="shared" si="147"/>
        <v>0</v>
      </c>
      <c r="M152" s="122">
        <f t="shared" si="148"/>
        <v>0</v>
      </c>
      <c r="N152" s="90">
        <f t="shared" si="121"/>
        <v>0</v>
      </c>
      <c r="O152" s="123">
        <f>IF(L152="",0,IFERROR(IF($M$2="ESTUDO",BH152,N152)+INDEX(AUXILIAR!$AO$3:$AO$8,MATCH(L152,{0;2;5;10;20;50},1))*1440,IF(M152="ESTUDO",BH152,N152)))</f>
        <v>0</v>
      </c>
      <c r="P152" s="94">
        <f t="shared" si="122"/>
        <v>0</v>
      </c>
      <c r="Q152" s="94">
        <f t="shared" si="123"/>
        <v>0</v>
      </c>
      <c r="R152" s="91" t="s">
        <v>0</v>
      </c>
      <c r="S152" s="88">
        <f t="shared" si="124"/>
        <v>0</v>
      </c>
      <c r="T152" s="94">
        <f>((AM152/(1+AUXILIAR!$BJ$4))-((AM152/(1+AUXILIAR!$BJ$4))*AUXILIAR!$BK$4))-(((AM152/(1+AUXILIAR!$BJ$4))-((AM152/(1+AUXILIAR!$BJ$4))*AUXILIAR!$BK$4))*((AUXILIAR!$BL$4+AUXILIAR!$BM$4)))</f>
        <v>0</v>
      </c>
      <c r="U152" s="94">
        <f>((S152/(1+AUXILIAR!$BJ$7))-((S152/(1+AUXILIAR!$BJ$7))*AUXILIAR!$BK$7))-(((S152/(1+AUXILIAR!$BJ$7))-((S152/(1+AUXILIAR!$BJ$7))*AUXILIAR!$BK$7))*((AUXILIAR!$BL$7+AUXILIAR!$BM$7)))</f>
        <v>0</v>
      </c>
      <c r="V152" s="96">
        <f>AM152-(AM152/(1+AUXILIAR!$BJ$4))</f>
        <v>0</v>
      </c>
      <c r="W152" s="96">
        <f>(AM152-V152)*AUXILIAR!$BK$4</f>
        <v>0</v>
      </c>
      <c r="X152" s="96">
        <f>(AM152-V152-W152)*(AUXILIAR!$BL$4+AUXILIAR!$BM$4)</f>
        <v>0</v>
      </c>
      <c r="Y152" s="96">
        <f>X152-(X152/(1+AUXILIAR!$BJ$7))</f>
        <v>0</v>
      </c>
      <c r="Z152" s="96">
        <f>(S152-Y152)*AUXILIAR!$BK$7</f>
        <v>0</v>
      </c>
      <c r="AA152" s="96">
        <f>(S152-Y152-Z152)*(AUXILIAR!$BL$7+AUXILIAR!$BM$7)</f>
        <v>0</v>
      </c>
      <c r="AB152" s="97">
        <f t="shared" si="125"/>
        <v>0</v>
      </c>
      <c r="AC152" s="97">
        <f t="shared" si="126"/>
        <v>0</v>
      </c>
      <c r="AD152" s="97">
        <f t="shared" si="127"/>
        <v>0</v>
      </c>
      <c r="AE152" s="97">
        <f t="shared" si="128"/>
        <v>0</v>
      </c>
      <c r="AF152" s="97">
        <f t="shared" si="129"/>
        <v>0</v>
      </c>
      <c r="AG152" s="96">
        <f t="shared" si="130"/>
        <v>-1</v>
      </c>
      <c r="AH152" s="94">
        <f t="shared" si="131"/>
        <v>0</v>
      </c>
      <c r="AI152" s="98">
        <f t="shared" si="132"/>
        <v>0</v>
      </c>
      <c r="AJ152" s="94">
        <f t="shared" si="133"/>
        <v>0</v>
      </c>
      <c r="AK152" s="94">
        <f t="shared" si="134"/>
        <v>0</v>
      </c>
      <c r="AL152" s="94">
        <f>AUXILIAR!$BM$12</f>
        <v>1</v>
      </c>
      <c r="AM152" s="94">
        <f>IF($E$2="XADREZ",
     IFERROR(VLOOKUP(G152,AUXILIAR!AB:AC,2,TRUE),0),
     IF(AC149="SIM", 0, IFERROR(VLOOKUP(G152,AUXILIAR!AB:AC,2,TRUE),0))
)</f>
        <v>0</v>
      </c>
      <c r="AN152" s="124">
        <f t="shared" si="149"/>
        <v>0</v>
      </c>
      <c r="AO152" s="94">
        <f t="shared" si="135"/>
        <v>0</v>
      </c>
      <c r="AP152" s="94">
        <f t="shared" si="136"/>
        <v>0</v>
      </c>
      <c r="AQ152" s="124">
        <f>IFERROR(INDEX(AUXILIAR!$AG$3:$AG$28,MATCH(G152,AUXILIAR!$AH$3:$AH$28,1))*AM152,0)</f>
        <v>0</v>
      </c>
      <c r="AR152" s="99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37"/>
        <v/>
      </c>
      <c r="AT152" s="89" t="str">
        <f t="shared" si="138"/>
        <v/>
      </c>
      <c r="AU152" s="89" t="str">
        <f t="shared" si="139"/>
        <v/>
      </c>
      <c r="AV152" s="89" t="str">
        <f t="shared" si="140"/>
        <v/>
      </c>
      <c r="AW152" s="89" t="str">
        <f t="shared" si="141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42"/>
        <v>0</v>
      </c>
      <c r="AZ152" s="89">
        <f t="shared" si="143"/>
        <v>0</v>
      </c>
      <c r="BA152" s="116">
        <f t="shared" si="144"/>
        <v>0</v>
      </c>
      <c r="BB152" s="116">
        <f t="shared" si="145"/>
        <v>0</v>
      </c>
      <c r="BC152" s="116">
        <f t="shared" si="146"/>
        <v>0</v>
      </c>
      <c r="BD152" s="116">
        <f t="shared" si="154"/>
        <v>0</v>
      </c>
      <c r="BE152" s="89">
        <f t="shared" si="150"/>
        <v>0</v>
      </c>
      <c r="BF152" s="90">
        <f t="shared" si="151"/>
        <v>0.01</v>
      </c>
      <c r="BG152" s="90">
        <f t="shared" si="152"/>
        <v>3.3333333333333333E-2</v>
      </c>
      <c r="BH152" s="116">
        <f t="shared" si="153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3">
        <v>1200</v>
      </c>
      <c r="L153" s="121" t="str">
        <f t="shared" si="147"/>
        <v>0</v>
      </c>
      <c r="M153" s="122">
        <f t="shared" si="148"/>
        <v>0</v>
      </c>
      <c r="N153" s="90">
        <f t="shared" si="121"/>
        <v>0</v>
      </c>
      <c r="O153" s="123">
        <f>IF(L153="",0,IFERROR(IF($M$2="ESTUDO",BH153,N153)+INDEX(AUXILIAR!$AO$3:$AO$8,MATCH(L153,{0;2;5;10;20;50},1))*1440,IF(M153="ESTUDO",BH153,N153)))</f>
        <v>0</v>
      </c>
      <c r="P153" s="94">
        <f t="shared" si="122"/>
        <v>0</v>
      </c>
      <c r="Q153" s="94">
        <f t="shared" si="123"/>
        <v>0</v>
      </c>
      <c r="R153" s="91" t="s">
        <v>0</v>
      </c>
      <c r="S153" s="88">
        <f t="shared" si="124"/>
        <v>0</v>
      </c>
      <c r="T153" s="94">
        <f>((AM153/(1+AUXILIAR!$BJ$4))-((AM153/(1+AUXILIAR!$BJ$4))*AUXILIAR!$BK$4))-(((AM153/(1+AUXILIAR!$BJ$4))-((AM153/(1+AUXILIAR!$BJ$4))*AUXILIAR!$BK$4))*((AUXILIAR!$BL$4+AUXILIAR!$BM$4)))</f>
        <v>0</v>
      </c>
      <c r="U153" s="94">
        <f>((S153/(1+AUXILIAR!$BJ$7))-((S153/(1+AUXILIAR!$BJ$7))*AUXILIAR!$BK$7))-(((S153/(1+AUXILIAR!$BJ$7))-((S153/(1+AUXILIAR!$BJ$7))*AUXILIAR!$BK$7))*((AUXILIAR!$BL$7+AUXILIAR!$BM$7)))</f>
        <v>0</v>
      </c>
      <c r="V153" s="96">
        <f>AM153-(AM153/(1+AUXILIAR!$BJ$4))</f>
        <v>0</v>
      </c>
      <c r="W153" s="96">
        <f>(AM153-V153)*AUXILIAR!$BK$4</f>
        <v>0</v>
      </c>
      <c r="X153" s="96">
        <f>(AM153-V153-W153)*(AUXILIAR!$BL$4+AUXILIAR!$BM$4)</f>
        <v>0</v>
      </c>
      <c r="Y153" s="96">
        <f>X153-(X153/(1+AUXILIAR!$BJ$7))</f>
        <v>0</v>
      </c>
      <c r="Z153" s="96">
        <f>(S153-Y153)*AUXILIAR!$BK$7</f>
        <v>0</v>
      </c>
      <c r="AA153" s="96">
        <f>(S153-Y153-Z153)*(AUXILIAR!$BL$7+AUXILIAR!$BM$7)</f>
        <v>0</v>
      </c>
      <c r="AB153" s="97">
        <f t="shared" si="125"/>
        <v>0</v>
      </c>
      <c r="AC153" s="97">
        <f t="shared" si="126"/>
        <v>0</v>
      </c>
      <c r="AD153" s="97">
        <f t="shared" si="127"/>
        <v>0</v>
      </c>
      <c r="AE153" s="97">
        <f t="shared" si="128"/>
        <v>0</v>
      </c>
      <c r="AF153" s="97">
        <f t="shared" si="129"/>
        <v>0</v>
      </c>
      <c r="AG153" s="96">
        <f t="shared" si="130"/>
        <v>-1</v>
      </c>
      <c r="AH153" s="94">
        <f t="shared" si="131"/>
        <v>0</v>
      </c>
      <c r="AI153" s="98">
        <f t="shared" si="132"/>
        <v>0</v>
      </c>
      <c r="AJ153" s="94">
        <f t="shared" si="133"/>
        <v>0</v>
      </c>
      <c r="AK153" s="94">
        <f t="shared" si="134"/>
        <v>0</v>
      </c>
      <c r="AL153" s="94">
        <f>AUXILIAR!$BM$12</f>
        <v>1</v>
      </c>
      <c r="AM153" s="94">
        <f>IF($E$2="XADREZ",
     IFERROR(VLOOKUP(G153,AUXILIAR!AB:AC,2,TRUE),0),
     IF(AC150="SIM", 0, IFERROR(VLOOKUP(G153,AUXILIAR!AB:AC,2,TRUE),0))
)</f>
        <v>0</v>
      </c>
      <c r="AN153" s="124">
        <f t="shared" si="149"/>
        <v>0</v>
      </c>
      <c r="AO153" s="94">
        <f t="shared" si="135"/>
        <v>0</v>
      </c>
      <c r="AP153" s="94">
        <f t="shared" si="136"/>
        <v>0</v>
      </c>
      <c r="AQ153" s="124">
        <f>IFERROR(INDEX(AUXILIAR!$AG$3:$AG$28,MATCH(G153,AUXILIAR!$AH$3:$AH$28,1))*AM153,0)</f>
        <v>0</v>
      </c>
      <c r="AR153" s="99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37"/>
        <v/>
      </c>
      <c r="AT153" s="89" t="str">
        <f t="shared" si="138"/>
        <v/>
      </c>
      <c r="AU153" s="89" t="str">
        <f t="shared" si="139"/>
        <v/>
      </c>
      <c r="AV153" s="89" t="str">
        <f t="shared" si="140"/>
        <v/>
      </c>
      <c r="AW153" s="89" t="str">
        <f t="shared" si="141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42"/>
        <v>0</v>
      </c>
      <c r="AZ153" s="89">
        <f t="shared" si="143"/>
        <v>0</v>
      </c>
      <c r="BA153" s="116">
        <f t="shared" si="144"/>
        <v>0</v>
      </c>
      <c r="BB153" s="116">
        <f t="shared" si="145"/>
        <v>0</v>
      </c>
      <c r="BC153" s="116">
        <f t="shared" si="146"/>
        <v>0</v>
      </c>
      <c r="BD153" s="116">
        <f t="shared" si="154"/>
        <v>0</v>
      </c>
      <c r="BE153" s="89">
        <f t="shared" si="150"/>
        <v>0</v>
      </c>
      <c r="BF153" s="90">
        <f t="shared" si="151"/>
        <v>0.01</v>
      </c>
      <c r="BG153" s="90">
        <f t="shared" si="152"/>
        <v>3.3333333333333333E-2</v>
      </c>
      <c r="BH153" s="116">
        <f t="shared" si="153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3">
        <v>1200</v>
      </c>
      <c r="L154" s="121" t="str">
        <f t="shared" si="147"/>
        <v>0</v>
      </c>
      <c r="M154" s="122">
        <f t="shared" si="148"/>
        <v>0</v>
      </c>
      <c r="N154" s="90">
        <f t="shared" si="121"/>
        <v>0</v>
      </c>
      <c r="O154" s="123">
        <f>IF(L154="",0,IFERROR(IF($M$2="ESTUDO",BH154,N154)+INDEX(AUXILIAR!$AO$3:$AO$8,MATCH(L154,{0;2;5;10;20;50},1))*1440,IF(M154="ESTUDO",BH154,N154)))</f>
        <v>0</v>
      </c>
      <c r="P154" s="94">
        <f t="shared" si="122"/>
        <v>0</v>
      </c>
      <c r="Q154" s="94">
        <f t="shared" si="123"/>
        <v>0</v>
      </c>
      <c r="R154" s="91" t="s">
        <v>0</v>
      </c>
      <c r="S154" s="88">
        <f t="shared" si="124"/>
        <v>0</v>
      </c>
      <c r="T154" s="94">
        <f>((AM154/(1+AUXILIAR!$BJ$4))-((AM154/(1+AUXILIAR!$BJ$4))*AUXILIAR!$BK$4))-(((AM154/(1+AUXILIAR!$BJ$4))-((AM154/(1+AUXILIAR!$BJ$4))*AUXILIAR!$BK$4))*((AUXILIAR!$BL$4+AUXILIAR!$BM$4)))</f>
        <v>0</v>
      </c>
      <c r="U154" s="94">
        <f>((S154/(1+AUXILIAR!$BJ$7))-((S154/(1+AUXILIAR!$BJ$7))*AUXILIAR!$BK$7))-(((S154/(1+AUXILIAR!$BJ$7))-((S154/(1+AUXILIAR!$BJ$7))*AUXILIAR!$BK$7))*((AUXILIAR!$BL$7+AUXILIAR!$BM$7)))</f>
        <v>0</v>
      </c>
      <c r="V154" s="96">
        <f>AM154-(AM154/(1+AUXILIAR!$BJ$4))</f>
        <v>0</v>
      </c>
      <c r="W154" s="96">
        <f>(AM154-V154)*AUXILIAR!$BK$4</f>
        <v>0</v>
      </c>
      <c r="X154" s="96">
        <f>(AM154-V154-W154)*(AUXILIAR!$BL$4+AUXILIAR!$BM$4)</f>
        <v>0</v>
      </c>
      <c r="Y154" s="96">
        <f>X154-(X154/(1+AUXILIAR!$BJ$7))</f>
        <v>0</v>
      </c>
      <c r="Z154" s="96">
        <f>(S154-Y154)*AUXILIAR!$BK$7</f>
        <v>0</v>
      </c>
      <c r="AA154" s="96">
        <f>(S154-Y154-Z154)*(AUXILIAR!$BL$7+AUXILIAR!$BM$7)</f>
        <v>0</v>
      </c>
      <c r="AB154" s="97">
        <f t="shared" si="125"/>
        <v>0</v>
      </c>
      <c r="AC154" s="97">
        <f t="shared" si="126"/>
        <v>0</v>
      </c>
      <c r="AD154" s="97">
        <f t="shared" si="127"/>
        <v>0</v>
      </c>
      <c r="AE154" s="97">
        <f t="shared" si="128"/>
        <v>0</v>
      </c>
      <c r="AF154" s="97">
        <f t="shared" si="129"/>
        <v>0</v>
      </c>
      <c r="AG154" s="96">
        <f t="shared" si="130"/>
        <v>-1</v>
      </c>
      <c r="AH154" s="94">
        <f t="shared" si="131"/>
        <v>0</v>
      </c>
      <c r="AI154" s="98">
        <f t="shared" si="132"/>
        <v>0</v>
      </c>
      <c r="AJ154" s="94">
        <f t="shared" si="133"/>
        <v>0</v>
      </c>
      <c r="AK154" s="94">
        <f t="shared" si="134"/>
        <v>0</v>
      </c>
      <c r="AL154" s="94">
        <f>AUXILIAR!$BM$12</f>
        <v>1</v>
      </c>
      <c r="AM154" s="94">
        <f>IF($E$2="XADREZ",
     IFERROR(VLOOKUP(G154,AUXILIAR!AB:AC,2,TRUE),0),
     IF(AC151="SIM", 0, IFERROR(VLOOKUP(G154,AUXILIAR!AB:AC,2,TRUE),0))
)</f>
        <v>0</v>
      </c>
      <c r="AN154" s="124">
        <f t="shared" si="149"/>
        <v>0</v>
      </c>
      <c r="AO154" s="94">
        <f t="shared" si="135"/>
        <v>0</v>
      </c>
      <c r="AP154" s="94">
        <f t="shared" si="136"/>
        <v>0</v>
      </c>
      <c r="AQ154" s="124">
        <f>IFERROR(INDEX(AUXILIAR!$AG$3:$AG$28,MATCH(G154,AUXILIAR!$AH$3:$AH$28,1))*AM154,0)</f>
        <v>0</v>
      </c>
      <c r="AR154" s="99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37"/>
        <v/>
      </c>
      <c r="AT154" s="89" t="str">
        <f t="shared" si="138"/>
        <v/>
      </c>
      <c r="AU154" s="89" t="str">
        <f t="shared" si="139"/>
        <v/>
      </c>
      <c r="AV154" s="89" t="str">
        <f t="shared" si="140"/>
        <v/>
      </c>
      <c r="AW154" s="89" t="str">
        <f t="shared" si="141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42"/>
        <v>0</v>
      </c>
      <c r="AZ154" s="89">
        <f t="shared" si="143"/>
        <v>0</v>
      </c>
      <c r="BA154" s="116">
        <f t="shared" si="144"/>
        <v>0</v>
      </c>
      <c r="BB154" s="116">
        <f t="shared" si="145"/>
        <v>0</v>
      </c>
      <c r="BC154" s="116">
        <f t="shared" si="146"/>
        <v>0</v>
      </c>
      <c r="BD154" s="116">
        <f t="shared" si="154"/>
        <v>0</v>
      </c>
      <c r="BE154" s="89">
        <f t="shared" si="150"/>
        <v>0</v>
      </c>
      <c r="BF154" s="90">
        <f t="shared" si="151"/>
        <v>0.01</v>
      </c>
      <c r="BG154" s="90">
        <f t="shared" si="152"/>
        <v>3.3333333333333333E-2</v>
      </c>
      <c r="BH154" s="116">
        <f t="shared" si="153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3">
        <v>1200</v>
      </c>
      <c r="L155" s="121" t="str">
        <f t="shared" si="147"/>
        <v>0</v>
      </c>
      <c r="M155" s="122">
        <f t="shared" si="148"/>
        <v>0</v>
      </c>
      <c r="N155" s="90">
        <f t="shared" si="121"/>
        <v>0</v>
      </c>
      <c r="O155" s="123">
        <f>IF(L155="",0,IFERROR(IF($M$2="ESTUDO",BH155,N155)+INDEX(AUXILIAR!$AO$3:$AO$8,MATCH(L155,{0;2;5;10;20;50},1))*1440,IF(M155="ESTUDO",BH155,N155)))</f>
        <v>0</v>
      </c>
      <c r="P155" s="94">
        <f t="shared" si="122"/>
        <v>0</v>
      </c>
      <c r="Q155" s="94">
        <f t="shared" si="123"/>
        <v>0</v>
      </c>
      <c r="R155" s="91" t="s">
        <v>0</v>
      </c>
      <c r="S155" s="88">
        <f t="shared" si="124"/>
        <v>0</v>
      </c>
      <c r="T155" s="94">
        <f>((AM155/(1+AUXILIAR!$BJ$4))-((AM155/(1+AUXILIAR!$BJ$4))*AUXILIAR!$BK$4))-(((AM155/(1+AUXILIAR!$BJ$4))-((AM155/(1+AUXILIAR!$BJ$4))*AUXILIAR!$BK$4))*((AUXILIAR!$BL$4+AUXILIAR!$BM$4)))</f>
        <v>0</v>
      </c>
      <c r="U155" s="94">
        <f>((S155/(1+AUXILIAR!$BJ$7))-((S155/(1+AUXILIAR!$BJ$7))*AUXILIAR!$BK$7))-(((S155/(1+AUXILIAR!$BJ$7))-((S155/(1+AUXILIAR!$BJ$7))*AUXILIAR!$BK$7))*((AUXILIAR!$BL$7+AUXILIAR!$BM$7)))</f>
        <v>0</v>
      </c>
      <c r="V155" s="96">
        <f>AM155-(AM155/(1+AUXILIAR!$BJ$4))</f>
        <v>0</v>
      </c>
      <c r="W155" s="96">
        <f>(AM155-V155)*AUXILIAR!$BK$4</f>
        <v>0</v>
      </c>
      <c r="X155" s="96">
        <f>(AM155-V155-W155)*(AUXILIAR!$BL$4+AUXILIAR!$BM$4)</f>
        <v>0</v>
      </c>
      <c r="Y155" s="96">
        <f>X155-(X155/(1+AUXILIAR!$BJ$7))</f>
        <v>0</v>
      </c>
      <c r="Z155" s="96">
        <f>(S155-Y155)*AUXILIAR!$BK$7</f>
        <v>0</v>
      </c>
      <c r="AA155" s="96">
        <f>(S155-Y155-Z155)*(AUXILIAR!$BL$7+AUXILIAR!$BM$7)</f>
        <v>0</v>
      </c>
      <c r="AB155" s="97">
        <f t="shared" si="125"/>
        <v>0</v>
      </c>
      <c r="AC155" s="97">
        <f t="shared" si="126"/>
        <v>0</v>
      </c>
      <c r="AD155" s="97">
        <f t="shared" si="127"/>
        <v>0</v>
      </c>
      <c r="AE155" s="97">
        <f t="shared" si="128"/>
        <v>0</v>
      </c>
      <c r="AF155" s="97">
        <f t="shared" si="129"/>
        <v>0</v>
      </c>
      <c r="AG155" s="96">
        <f t="shared" si="130"/>
        <v>-1</v>
      </c>
      <c r="AH155" s="94">
        <f t="shared" si="131"/>
        <v>0</v>
      </c>
      <c r="AI155" s="98">
        <f t="shared" si="132"/>
        <v>0</v>
      </c>
      <c r="AJ155" s="94">
        <f t="shared" si="133"/>
        <v>0</v>
      </c>
      <c r="AK155" s="94">
        <f t="shared" si="134"/>
        <v>0</v>
      </c>
      <c r="AL155" s="94">
        <f>AUXILIAR!$BM$12</f>
        <v>1</v>
      </c>
      <c r="AM155" s="94">
        <f>IF($E$2="XADREZ",
     IFERROR(VLOOKUP(G155,AUXILIAR!AB:AC,2,TRUE),0),
     IF(AC152="SIM", 0, IFERROR(VLOOKUP(G155,AUXILIAR!AB:AC,2,TRUE),0))
)</f>
        <v>0</v>
      </c>
      <c r="AN155" s="124">
        <f t="shared" si="149"/>
        <v>0</v>
      </c>
      <c r="AO155" s="94">
        <f t="shared" si="135"/>
        <v>0</v>
      </c>
      <c r="AP155" s="94">
        <f t="shared" si="136"/>
        <v>0</v>
      </c>
      <c r="AQ155" s="124">
        <f>IFERROR(INDEX(AUXILIAR!$AG$3:$AG$28,MATCH(G155,AUXILIAR!$AH$3:$AH$28,1))*AM155,0)</f>
        <v>0</v>
      </c>
      <c r="AR155" s="99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37"/>
        <v/>
      </c>
      <c r="AT155" s="89" t="str">
        <f t="shared" si="138"/>
        <v/>
      </c>
      <c r="AU155" s="89" t="str">
        <f t="shared" si="139"/>
        <v/>
      </c>
      <c r="AV155" s="89" t="str">
        <f t="shared" si="140"/>
        <v/>
      </c>
      <c r="AW155" s="89" t="str">
        <f t="shared" si="141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42"/>
        <v>0</v>
      </c>
      <c r="AZ155" s="89">
        <f t="shared" si="143"/>
        <v>0</v>
      </c>
      <c r="BA155" s="116">
        <f t="shared" si="144"/>
        <v>0</v>
      </c>
      <c r="BB155" s="116">
        <f t="shared" si="145"/>
        <v>0</v>
      </c>
      <c r="BC155" s="116">
        <f t="shared" si="146"/>
        <v>0</v>
      </c>
      <c r="BD155" s="116">
        <f t="shared" si="154"/>
        <v>0</v>
      </c>
      <c r="BE155" s="89">
        <f t="shared" si="150"/>
        <v>0</v>
      </c>
      <c r="BF155" s="90">
        <f t="shared" si="151"/>
        <v>0.01</v>
      </c>
      <c r="BG155" s="90">
        <f t="shared" si="152"/>
        <v>3.3333333333333333E-2</v>
      </c>
      <c r="BH155" s="116">
        <f t="shared" si="153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3">
        <v>1200</v>
      </c>
      <c r="L156" s="121" t="str">
        <f t="shared" si="147"/>
        <v>0</v>
      </c>
      <c r="M156" s="122">
        <f t="shared" si="148"/>
        <v>0</v>
      </c>
      <c r="N156" s="90">
        <f t="shared" si="121"/>
        <v>0</v>
      </c>
      <c r="O156" s="123">
        <f>IF(L156="",0,IFERROR(IF($M$2="ESTUDO",BH156,N156)+INDEX(AUXILIAR!$AO$3:$AO$8,MATCH(L156,{0;2;5;10;20;50},1))*1440,IF(M156="ESTUDO",BH156,N156)))</f>
        <v>0</v>
      </c>
      <c r="P156" s="94">
        <f t="shared" si="122"/>
        <v>0</v>
      </c>
      <c r="Q156" s="94">
        <f t="shared" si="123"/>
        <v>0</v>
      </c>
      <c r="R156" s="91" t="s">
        <v>0</v>
      </c>
      <c r="S156" s="88">
        <f t="shared" si="124"/>
        <v>0</v>
      </c>
      <c r="T156" s="94">
        <f>((AM156/(1+AUXILIAR!$BJ$4))-((AM156/(1+AUXILIAR!$BJ$4))*AUXILIAR!$BK$4))-(((AM156/(1+AUXILIAR!$BJ$4))-((AM156/(1+AUXILIAR!$BJ$4))*AUXILIAR!$BK$4))*((AUXILIAR!$BL$4+AUXILIAR!$BM$4)))</f>
        <v>0</v>
      </c>
      <c r="U156" s="94">
        <f>((S156/(1+AUXILIAR!$BJ$7))-((S156/(1+AUXILIAR!$BJ$7))*AUXILIAR!$BK$7))-(((S156/(1+AUXILIAR!$BJ$7))-((S156/(1+AUXILIAR!$BJ$7))*AUXILIAR!$BK$7))*((AUXILIAR!$BL$7+AUXILIAR!$BM$7)))</f>
        <v>0</v>
      </c>
      <c r="V156" s="96">
        <f>AM156-(AM156/(1+AUXILIAR!$BJ$4))</f>
        <v>0</v>
      </c>
      <c r="W156" s="96">
        <f>(AM156-V156)*AUXILIAR!$BK$4</f>
        <v>0</v>
      </c>
      <c r="X156" s="96">
        <f>(AM156-V156-W156)*(AUXILIAR!$BL$4+AUXILIAR!$BM$4)</f>
        <v>0</v>
      </c>
      <c r="Y156" s="96">
        <f>X156-(X156/(1+AUXILIAR!$BJ$7))</f>
        <v>0</v>
      </c>
      <c r="Z156" s="96">
        <f>(S156-Y156)*AUXILIAR!$BK$7</f>
        <v>0</v>
      </c>
      <c r="AA156" s="96">
        <f>(S156-Y156-Z156)*(AUXILIAR!$BL$7+AUXILIAR!$BM$7)</f>
        <v>0</v>
      </c>
      <c r="AB156" s="97">
        <f t="shared" si="125"/>
        <v>0</v>
      </c>
      <c r="AC156" s="97">
        <f t="shared" si="126"/>
        <v>0</v>
      </c>
      <c r="AD156" s="97">
        <f t="shared" si="127"/>
        <v>0</v>
      </c>
      <c r="AE156" s="97">
        <f t="shared" si="128"/>
        <v>0</v>
      </c>
      <c r="AF156" s="97">
        <f t="shared" si="129"/>
        <v>0</v>
      </c>
      <c r="AG156" s="96">
        <f t="shared" si="130"/>
        <v>-1</v>
      </c>
      <c r="AH156" s="94">
        <f t="shared" si="131"/>
        <v>0</v>
      </c>
      <c r="AI156" s="98">
        <f t="shared" si="132"/>
        <v>0</v>
      </c>
      <c r="AJ156" s="94">
        <f t="shared" si="133"/>
        <v>0</v>
      </c>
      <c r="AK156" s="94">
        <f t="shared" si="134"/>
        <v>0</v>
      </c>
      <c r="AL156" s="94">
        <f>AUXILIAR!$BM$12</f>
        <v>1</v>
      </c>
      <c r="AM156" s="94">
        <f>IF($E$2="XADREZ",
     IFERROR(VLOOKUP(G156,AUXILIAR!AB:AC,2,TRUE),0),
     IF(AC153="SIM", 0, IFERROR(VLOOKUP(G156,AUXILIAR!AB:AC,2,TRUE),0))
)</f>
        <v>0</v>
      </c>
      <c r="AN156" s="124">
        <f t="shared" si="149"/>
        <v>0</v>
      </c>
      <c r="AO156" s="94">
        <f t="shared" si="135"/>
        <v>0</v>
      </c>
      <c r="AP156" s="94">
        <f t="shared" si="136"/>
        <v>0</v>
      </c>
      <c r="AQ156" s="124">
        <f>IFERROR(INDEX(AUXILIAR!$AG$3:$AG$28,MATCH(G156,AUXILIAR!$AH$3:$AH$28,1))*AM156,0)</f>
        <v>0</v>
      </c>
      <c r="AR156" s="99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37"/>
        <v/>
      </c>
      <c r="AT156" s="89" t="str">
        <f t="shared" si="138"/>
        <v/>
      </c>
      <c r="AU156" s="89" t="str">
        <f t="shared" si="139"/>
        <v/>
      </c>
      <c r="AV156" s="89" t="str">
        <f t="shared" si="140"/>
        <v/>
      </c>
      <c r="AW156" s="89" t="str">
        <f t="shared" si="141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42"/>
        <v>0</v>
      </c>
      <c r="AZ156" s="89">
        <f t="shared" si="143"/>
        <v>0</v>
      </c>
      <c r="BA156" s="116">
        <f t="shared" si="144"/>
        <v>0</v>
      </c>
      <c r="BB156" s="116">
        <f t="shared" si="145"/>
        <v>0</v>
      </c>
      <c r="BC156" s="116">
        <f t="shared" si="146"/>
        <v>0</v>
      </c>
      <c r="BD156" s="116">
        <f t="shared" si="154"/>
        <v>0</v>
      </c>
      <c r="BE156" s="89">
        <f t="shared" si="150"/>
        <v>0</v>
      </c>
      <c r="BF156" s="90">
        <f t="shared" si="151"/>
        <v>0.01</v>
      </c>
      <c r="BG156" s="90">
        <f t="shared" si="152"/>
        <v>3.3333333333333333E-2</v>
      </c>
      <c r="BH156" s="116">
        <f t="shared" si="153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3">
        <v>1200</v>
      </c>
      <c r="L157" s="121" t="str">
        <f t="shared" si="147"/>
        <v>0</v>
      </c>
      <c r="M157" s="122">
        <f t="shared" si="148"/>
        <v>0</v>
      </c>
      <c r="N157" s="90">
        <f t="shared" si="121"/>
        <v>0</v>
      </c>
      <c r="O157" s="123">
        <f>IF(L157="",0,IFERROR(IF($M$2="ESTUDO",BH157,N157)+INDEX(AUXILIAR!$AO$3:$AO$8,MATCH(L157,{0;2;5;10;20;50},1))*1440,IF(M157="ESTUDO",BH157,N157)))</f>
        <v>0</v>
      </c>
      <c r="P157" s="94">
        <f t="shared" si="122"/>
        <v>0</v>
      </c>
      <c r="Q157" s="94">
        <f t="shared" si="123"/>
        <v>0</v>
      </c>
      <c r="R157" s="91" t="s">
        <v>0</v>
      </c>
      <c r="S157" s="88">
        <f t="shared" si="124"/>
        <v>0</v>
      </c>
      <c r="T157" s="94">
        <f>((AM157/(1+AUXILIAR!$BJ$4))-((AM157/(1+AUXILIAR!$BJ$4))*AUXILIAR!$BK$4))-(((AM157/(1+AUXILIAR!$BJ$4))-((AM157/(1+AUXILIAR!$BJ$4))*AUXILIAR!$BK$4))*((AUXILIAR!$BL$4+AUXILIAR!$BM$4)))</f>
        <v>0</v>
      </c>
      <c r="U157" s="94">
        <f>((S157/(1+AUXILIAR!$BJ$7))-((S157/(1+AUXILIAR!$BJ$7))*AUXILIAR!$BK$7))-(((S157/(1+AUXILIAR!$BJ$7))-((S157/(1+AUXILIAR!$BJ$7))*AUXILIAR!$BK$7))*((AUXILIAR!$BL$7+AUXILIAR!$BM$7)))</f>
        <v>0</v>
      </c>
      <c r="V157" s="96">
        <f>AM157-(AM157/(1+AUXILIAR!$BJ$4))</f>
        <v>0</v>
      </c>
      <c r="W157" s="96">
        <f>(AM157-V157)*AUXILIAR!$BK$4</f>
        <v>0</v>
      </c>
      <c r="X157" s="96">
        <f>(AM157-V157-W157)*(AUXILIAR!$BL$4+AUXILIAR!$BM$4)</f>
        <v>0</v>
      </c>
      <c r="Y157" s="96">
        <f>X157-(X157/(1+AUXILIAR!$BJ$7))</f>
        <v>0</v>
      </c>
      <c r="Z157" s="96">
        <f>(S157-Y157)*AUXILIAR!$BK$7</f>
        <v>0</v>
      </c>
      <c r="AA157" s="96">
        <f>(S157-Y157-Z157)*(AUXILIAR!$BL$7+AUXILIAR!$BM$7)</f>
        <v>0</v>
      </c>
      <c r="AB157" s="97">
        <f t="shared" si="125"/>
        <v>0</v>
      </c>
      <c r="AC157" s="97">
        <f t="shared" si="126"/>
        <v>0</v>
      </c>
      <c r="AD157" s="97">
        <f t="shared" si="127"/>
        <v>0</v>
      </c>
      <c r="AE157" s="97">
        <f t="shared" si="128"/>
        <v>0</v>
      </c>
      <c r="AF157" s="97">
        <f t="shared" si="129"/>
        <v>0</v>
      </c>
      <c r="AG157" s="96">
        <f t="shared" si="130"/>
        <v>-1</v>
      </c>
      <c r="AH157" s="94">
        <f t="shared" si="131"/>
        <v>0</v>
      </c>
      <c r="AI157" s="98">
        <f t="shared" si="132"/>
        <v>0</v>
      </c>
      <c r="AJ157" s="94">
        <f t="shared" si="133"/>
        <v>0</v>
      </c>
      <c r="AK157" s="94">
        <f t="shared" si="134"/>
        <v>0</v>
      </c>
      <c r="AL157" s="94">
        <f>AUXILIAR!$BM$12</f>
        <v>1</v>
      </c>
      <c r="AM157" s="94">
        <f>IF($E$2="XADREZ",
     IFERROR(VLOOKUP(G157,AUXILIAR!AB:AC,2,TRUE),0),
     IF(AC154="SIM", 0, IFERROR(VLOOKUP(G157,AUXILIAR!AB:AC,2,TRUE),0))
)</f>
        <v>0</v>
      </c>
      <c r="AN157" s="124">
        <f t="shared" si="149"/>
        <v>0</v>
      </c>
      <c r="AO157" s="94">
        <f t="shared" si="135"/>
        <v>0</v>
      </c>
      <c r="AP157" s="94">
        <f t="shared" si="136"/>
        <v>0</v>
      </c>
      <c r="AQ157" s="124">
        <f>IFERROR(INDEX(AUXILIAR!$AG$3:$AG$28,MATCH(G157,AUXILIAR!$AH$3:$AH$28,1))*AM157,0)</f>
        <v>0</v>
      </c>
      <c r="AR157" s="99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37"/>
        <v/>
      </c>
      <c r="AT157" s="89" t="str">
        <f t="shared" si="138"/>
        <v/>
      </c>
      <c r="AU157" s="89" t="str">
        <f t="shared" si="139"/>
        <v/>
      </c>
      <c r="AV157" s="89" t="str">
        <f t="shared" si="140"/>
        <v/>
      </c>
      <c r="AW157" s="89" t="str">
        <f t="shared" si="141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42"/>
        <v>0</v>
      </c>
      <c r="AZ157" s="89">
        <f t="shared" si="143"/>
        <v>0</v>
      </c>
      <c r="BA157" s="116">
        <f t="shared" si="144"/>
        <v>0</v>
      </c>
      <c r="BB157" s="116">
        <f t="shared" si="145"/>
        <v>0</v>
      </c>
      <c r="BC157" s="116">
        <f t="shared" si="146"/>
        <v>0</v>
      </c>
      <c r="BD157" s="116">
        <f t="shared" si="154"/>
        <v>0</v>
      </c>
      <c r="BE157" s="89">
        <f t="shared" si="150"/>
        <v>0</v>
      </c>
      <c r="BF157" s="90">
        <f t="shared" si="151"/>
        <v>0.01</v>
      </c>
      <c r="BG157" s="90">
        <f t="shared" si="152"/>
        <v>3.3333333333333333E-2</v>
      </c>
      <c r="BH157" s="116">
        <f t="shared" si="153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3">
        <v>1200</v>
      </c>
      <c r="L158" s="121" t="str">
        <f t="shared" si="147"/>
        <v>0</v>
      </c>
      <c r="M158" s="122">
        <f t="shared" si="148"/>
        <v>0</v>
      </c>
      <c r="N158" s="90">
        <f t="shared" si="121"/>
        <v>0</v>
      </c>
      <c r="O158" s="123">
        <f>IF(L158="",0,IFERROR(IF($M$2="ESTUDO",BH158,N158)+INDEX(AUXILIAR!$AO$3:$AO$8,MATCH(L158,{0;2;5;10;20;50},1))*1440,IF(M158="ESTUDO",BH158,N158)))</f>
        <v>0</v>
      </c>
      <c r="P158" s="94">
        <f t="shared" si="122"/>
        <v>0</v>
      </c>
      <c r="Q158" s="94">
        <f t="shared" si="123"/>
        <v>0</v>
      </c>
      <c r="R158" s="91" t="s">
        <v>0</v>
      </c>
      <c r="S158" s="88">
        <f t="shared" si="124"/>
        <v>0</v>
      </c>
      <c r="T158" s="94">
        <f>((AM158/(1+AUXILIAR!$BJ$4))-((AM158/(1+AUXILIAR!$BJ$4))*AUXILIAR!$BK$4))-(((AM158/(1+AUXILIAR!$BJ$4))-((AM158/(1+AUXILIAR!$BJ$4))*AUXILIAR!$BK$4))*((AUXILIAR!$BL$4+AUXILIAR!$BM$4)))</f>
        <v>0</v>
      </c>
      <c r="U158" s="94">
        <f>((S158/(1+AUXILIAR!$BJ$7))-((S158/(1+AUXILIAR!$BJ$7))*AUXILIAR!$BK$7))-(((S158/(1+AUXILIAR!$BJ$7))-((S158/(1+AUXILIAR!$BJ$7))*AUXILIAR!$BK$7))*((AUXILIAR!$BL$7+AUXILIAR!$BM$7)))</f>
        <v>0</v>
      </c>
      <c r="V158" s="96">
        <f>AM158-(AM158/(1+AUXILIAR!$BJ$4))</f>
        <v>0</v>
      </c>
      <c r="W158" s="96">
        <f>(AM158-V158)*AUXILIAR!$BK$4</f>
        <v>0</v>
      </c>
      <c r="X158" s="96">
        <f>(AM158-V158-W158)*(AUXILIAR!$BL$4+AUXILIAR!$BM$4)</f>
        <v>0</v>
      </c>
      <c r="Y158" s="96">
        <f>X158-(X158/(1+AUXILIAR!$BJ$7))</f>
        <v>0</v>
      </c>
      <c r="Z158" s="96">
        <f>(S158-Y158)*AUXILIAR!$BK$7</f>
        <v>0</v>
      </c>
      <c r="AA158" s="96">
        <f>(S158-Y158-Z158)*(AUXILIAR!$BL$7+AUXILIAR!$BM$7)</f>
        <v>0</v>
      </c>
      <c r="AB158" s="97">
        <f t="shared" si="125"/>
        <v>0</v>
      </c>
      <c r="AC158" s="97">
        <f t="shared" si="126"/>
        <v>0</v>
      </c>
      <c r="AD158" s="97">
        <f t="shared" si="127"/>
        <v>0</v>
      </c>
      <c r="AE158" s="97">
        <f t="shared" si="128"/>
        <v>0</v>
      </c>
      <c r="AF158" s="97">
        <f t="shared" si="129"/>
        <v>0</v>
      </c>
      <c r="AG158" s="96">
        <f t="shared" si="130"/>
        <v>-1</v>
      </c>
      <c r="AH158" s="94">
        <f t="shared" si="131"/>
        <v>0</v>
      </c>
      <c r="AI158" s="98">
        <f t="shared" si="132"/>
        <v>0</v>
      </c>
      <c r="AJ158" s="94">
        <f t="shared" si="133"/>
        <v>0</v>
      </c>
      <c r="AK158" s="94">
        <f t="shared" si="134"/>
        <v>0</v>
      </c>
      <c r="AL158" s="94">
        <f>AUXILIAR!$BM$12</f>
        <v>1</v>
      </c>
      <c r="AM158" s="94">
        <f>IF($E$2="XADREZ",
     IFERROR(VLOOKUP(G158,AUXILIAR!AB:AC,2,TRUE),0),
     IF(AC155="SIM", 0, IFERROR(VLOOKUP(G158,AUXILIAR!AB:AC,2,TRUE),0))
)</f>
        <v>0</v>
      </c>
      <c r="AN158" s="124">
        <f t="shared" si="149"/>
        <v>0</v>
      </c>
      <c r="AO158" s="94">
        <f t="shared" si="135"/>
        <v>0</v>
      </c>
      <c r="AP158" s="94">
        <f t="shared" si="136"/>
        <v>0</v>
      </c>
      <c r="AQ158" s="124">
        <f>IFERROR(INDEX(AUXILIAR!$AG$3:$AG$28,MATCH(G158,AUXILIAR!$AH$3:$AH$28,1))*AM158,0)</f>
        <v>0</v>
      </c>
      <c r="AR158" s="99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37"/>
        <v/>
      </c>
      <c r="AT158" s="89" t="str">
        <f t="shared" si="138"/>
        <v/>
      </c>
      <c r="AU158" s="89" t="str">
        <f t="shared" si="139"/>
        <v/>
      </c>
      <c r="AV158" s="89" t="str">
        <f t="shared" si="140"/>
        <v/>
      </c>
      <c r="AW158" s="89" t="str">
        <f t="shared" si="141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42"/>
        <v>0</v>
      </c>
      <c r="AZ158" s="89">
        <f t="shared" si="143"/>
        <v>0</v>
      </c>
      <c r="BA158" s="116">
        <f t="shared" si="144"/>
        <v>0</v>
      </c>
      <c r="BB158" s="116">
        <f t="shared" si="145"/>
        <v>0</v>
      </c>
      <c r="BC158" s="116">
        <f t="shared" si="146"/>
        <v>0</v>
      </c>
      <c r="BD158" s="116">
        <f t="shared" si="154"/>
        <v>0</v>
      </c>
      <c r="BE158" s="89">
        <f t="shared" si="150"/>
        <v>0</v>
      </c>
      <c r="BF158" s="90">
        <f t="shared" si="151"/>
        <v>0.01</v>
      </c>
      <c r="BG158" s="90">
        <f t="shared" si="152"/>
        <v>3.3333333333333333E-2</v>
      </c>
      <c r="BH158" s="116">
        <f t="shared" si="153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3">
        <v>1200</v>
      </c>
      <c r="L159" s="121" t="str">
        <f t="shared" si="147"/>
        <v>0</v>
      </c>
      <c r="M159" s="122">
        <f t="shared" si="148"/>
        <v>0</v>
      </c>
      <c r="N159" s="90">
        <f t="shared" si="121"/>
        <v>0</v>
      </c>
      <c r="O159" s="123">
        <f>IF(L159="",0,IFERROR(IF($M$2="ESTUDO",BH159,N159)+INDEX(AUXILIAR!$AO$3:$AO$8,MATCH(L159,{0;2;5;10;20;50},1))*1440,IF(M159="ESTUDO",BH159,N159)))</f>
        <v>0</v>
      </c>
      <c r="P159" s="94">
        <f t="shared" si="122"/>
        <v>0</v>
      </c>
      <c r="Q159" s="94">
        <f t="shared" si="123"/>
        <v>0</v>
      </c>
      <c r="R159" s="91" t="s">
        <v>0</v>
      </c>
      <c r="S159" s="88">
        <f t="shared" si="124"/>
        <v>0</v>
      </c>
      <c r="T159" s="94">
        <f>((AM159/(1+AUXILIAR!$BJ$4))-((AM159/(1+AUXILIAR!$BJ$4))*AUXILIAR!$BK$4))-(((AM159/(1+AUXILIAR!$BJ$4))-((AM159/(1+AUXILIAR!$BJ$4))*AUXILIAR!$BK$4))*((AUXILIAR!$BL$4+AUXILIAR!$BM$4)))</f>
        <v>0</v>
      </c>
      <c r="U159" s="94">
        <f>((S159/(1+AUXILIAR!$BJ$7))-((S159/(1+AUXILIAR!$BJ$7))*AUXILIAR!$BK$7))-(((S159/(1+AUXILIAR!$BJ$7))-((S159/(1+AUXILIAR!$BJ$7))*AUXILIAR!$BK$7))*((AUXILIAR!$BL$7+AUXILIAR!$BM$7)))</f>
        <v>0</v>
      </c>
      <c r="V159" s="96">
        <f>AM159-(AM159/(1+AUXILIAR!$BJ$4))</f>
        <v>0</v>
      </c>
      <c r="W159" s="96">
        <f>(AM159-V159)*AUXILIAR!$BK$4</f>
        <v>0</v>
      </c>
      <c r="X159" s="96">
        <f>(AM159-V159-W159)*(AUXILIAR!$BL$4+AUXILIAR!$BM$4)</f>
        <v>0</v>
      </c>
      <c r="Y159" s="96">
        <f>X159-(X159/(1+AUXILIAR!$BJ$7))</f>
        <v>0</v>
      </c>
      <c r="Z159" s="96">
        <f>(S159-Y159)*AUXILIAR!$BK$7</f>
        <v>0</v>
      </c>
      <c r="AA159" s="96">
        <f>(S159-Y159-Z159)*(AUXILIAR!$BL$7+AUXILIAR!$BM$7)</f>
        <v>0</v>
      </c>
      <c r="AB159" s="97">
        <f t="shared" si="125"/>
        <v>0</v>
      </c>
      <c r="AC159" s="97">
        <f t="shared" si="126"/>
        <v>0</v>
      </c>
      <c r="AD159" s="97">
        <f t="shared" si="127"/>
        <v>0</v>
      </c>
      <c r="AE159" s="97">
        <f t="shared" si="128"/>
        <v>0</v>
      </c>
      <c r="AF159" s="97">
        <f t="shared" si="129"/>
        <v>0</v>
      </c>
      <c r="AG159" s="96">
        <f t="shared" si="130"/>
        <v>-1</v>
      </c>
      <c r="AH159" s="94">
        <f t="shared" si="131"/>
        <v>0</v>
      </c>
      <c r="AI159" s="98">
        <f t="shared" si="132"/>
        <v>0</v>
      </c>
      <c r="AJ159" s="94">
        <f t="shared" si="133"/>
        <v>0</v>
      </c>
      <c r="AK159" s="94">
        <f t="shared" si="134"/>
        <v>0</v>
      </c>
      <c r="AL159" s="94">
        <f>AUXILIAR!$BM$12</f>
        <v>1</v>
      </c>
      <c r="AM159" s="94">
        <f>IF($E$2="XADREZ",
     IFERROR(VLOOKUP(G159,AUXILIAR!AB:AC,2,TRUE),0),
     IF(AC156="SIM", 0, IFERROR(VLOOKUP(G159,AUXILIAR!AB:AC,2,TRUE),0))
)</f>
        <v>0</v>
      </c>
      <c r="AN159" s="124">
        <f t="shared" si="149"/>
        <v>0</v>
      </c>
      <c r="AO159" s="94">
        <f t="shared" si="135"/>
        <v>0</v>
      </c>
      <c r="AP159" s="94">
        <f t="shared" si="136"/>
        <v>0</v>
      </c>
      <c r="AQ159" s="124">
        <f>IFERROR(INDEX(AUXILIAR!$AG$3:$AG$28,MATCH(G159,AUXILIAR!$AH$3:$AH$28,1))*AM159,0)</f>
        <v>0</v>
      </c>
      <c r="AR159" s="99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37"/>
        <v/>
      </c>
      <c r="AT159" s="89" t="str">
        <f t="shared" si="138"/>
        <v/>
      </c>
      <c r="AU159" s="89" t="str">
        <f t="shared" si="139"/>
        <v/>
      </c>
      <c r="AV159" s="89" t="str">
        <f t="shared" si="140"/>
        <v/>
      </c>
      <c r="AW159" s="89" t="str">
        <f t="shared" si="141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42"/>
        <v>0</v>
      </c>
      <c r="AZ159" s="89">
        <f t="shared" si="143"/>
        <v>0</v>
      </c>
      <c r="BA159" s="116">
        <f t="shared" si="144"/>
        <v>0</v>
      </c>
      <c r="BB159" s="116">
        <f t="shared" si="145"/>
        <v>0</v>
      </c>
      <c r="BC159" s="116">
        <f t="shared" si="146"/>
        <v>0</v>
      </c>
      <c r="BD159" s="116">
        <f t="shared" si="154"/>
        <v>0</v>
      </c>
      <c r="BE159" s="89">
        <f t="shared" si="150"/>
        <v>0</v>
      </c>
      <c r="BF159" s="90">
        <f t="shared" si="151"/>
        <v>0.01</v>
      </c>
      <c r="BG159" s="90">
        <f t="shared" si="152"/>
        <v>3.3333333333333333E-2</v>
      </c>
      <c r="BH159" s="116">
        <f t="shared" si="153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3">
        <v>1200</v>
      </c>
      <c r="L160" s="121" t="str">
        <f t="shared" si="147"/>
        <v>0</v>
      </c>
      <c r="M160" s="122">
        <f t="shared" si="148"/>
        <v>0</v>
      </c>
      <c r="N160" s="90">
        <f t="shared" si="121"/>
        <v>0</v>
      </c>
      <c r="O160" s="123">
        <f>IF(L160="",0,IFERROR(IF($M$2="ESTUDO",BH160,N160)+INDEX(AUXILIAR!$AO$3:$AO$8,MATCH(L160,{0;2;5;10;20;50},1))*1440,IF(M160="ESTUDO",BH160,N160)))</f>
        <v>0</v>
      </c>
      <c r="P160" s="94">
        <f t="shared" si="122"/>
        <v>0</v>
      </c>
      <c r="Q160" s="94">
        <f t="shared" si="123"/>
        <v>0</v>
      </c>
      <c r="R160" s="91" t="s">
        <v>0</v>
      </c>
      <c r="S160" s="88">
        <f t="shared" si="124"/>
        <v>0</v>
      </c>
      <c r="T160" s="94">
        <f>((AM160/(1+AUXILIAR!$BJ$4))-((AM160/(1+AUXILIAR!$BJ$4))*AUXILIAR!$BK$4))-(((AM160/(1+AUXILIAR!$BJ$4))-((AM160/(1+AUXILIAR!$BJ$4))*AUXILIAR!$BK$4))*((AUXILIAR!$BL$4+AUXILIAR!$BM$4)))</f>
        <v>0</v>
      </c>
      <c r="U160" s="94">
        <f>((S160/(1+AUXILIAR!$BJ$7))-((S160/(1+AUXILIAR!$BJ$7))*AUXILIAR!$BK$7))-(((S160/(1+AUXILIAR!$BJ$7))-((S160/(1+AUXILIAR!$BJ$7))*AUXILIAR!$BK$7))*((AUXILIAR!$BL$7+AUXILIAR!$BM$7)))</f>
        <v>0</v>
      </c>
      <c r="V160" s="96">
        <f>AM160-(AM160/(1+AUXILIAR!$BJ$4))</f>
        <v>0</v>
      </c>
      <c r="W160" s="96">
        <f>(AM160-V160)*AUXILIAR!$BK$4</f>
        <v>0</v>
      </c>
      <c r="X160" s="96">
        <f>(AM160-V160-W160)*(AUXILIAR!$BL$4+AUXILIAR!$BM$4)</f>
        <v>0</v>
      </c>
      <c r="Y160" s="96">
        <f>X160-(X160/(1+AUXILIAR!$BJ$7))</f>
        <v>0</v>
      </c>
      <c r="Z160" s="96">
        <f>(S160-Y160)*AUXILIAR!$BK$7</f>
        <v>0</v>
      </c>
      <c r="AA160" s="96">
        <f>(S160-Y160-Z160)*(AUXILIAR!$BL$7+AUXILIAR!$BM$7)</f>
        <v>0</v>
      </c>
      <c r="AB160" s="97">
        <f t="shared" si="125"/>
        <v>0</v>
      </c>
      <c r="AC160" s="97">
        <f t="shared" si="126"/>
        <v>0</v>
      </c>
      <c r="AD160" s="97">
        <f t="shared" si="127"/>
        <v>0</v>
      </c>
      <c r="AE160" s="97">
        <f t="shared" si="128"/>
        <v>0</v>
      </c>
      <c r="AF160" s="97">
        <f t="shared" si="129"/>
        <v>0</v>
      </c>
      <c r="AG160" s="96">
        <f t="shared" si="130"/>
        <v>-1</v>
      </c>
      <c r="AH160" s="94">
        <f t="shared" si="131"/>
        <v>0</v>
      </c>
      <c r="AI160" s="98">
        <f t="shared" si="132"/>
        <v>0</v>
      </c>
      <c r="AJ160" s="94">
        <f t="shared" si="133"/>
        <v>0</v>
      </c>
      <c r="AK160" s="94">
        <f t="shared" si="134"/>
        <v>0</v>
      </c>
      <c r="AL160" s="94">
        <f>AUXILIAR!$BM$12</f>
        <v>1</v>
      </c>
      <c r="AM160" s="94">
        <f>IF($E$2="XADREZ",
     IFERROR(VLOOKUP(G160,AUXILIAR!AB:AC,2,TRUE),0),
     IF(AC157="SIM", 0, IFERROR(VLOOKUP(G160,AUXILIAR!AB:AC,2,TRUE),0))
)</f>
        <v>0</v>
      </c>
      <c r="AN160" s="124">
        <f t="shared" si="149"/>
        <v>0</v>
      </c>
      <c r="AO160" s="94">
        <f t="shared" si="135"/>
        <v>0</v>
      </c>
      <c r="AP160" s="94">
        <f t="shared" si="136"/>
        <v>0</v>
      </c>
      <c r="AQ160" s="124">
        <f>IFERROR(INDEX(AUXILIAR!$AG$3:$AG$28,MATCH(G160,AUXILIAR!$AH$3:$AH$28,1))*AM160,0)</f>
        <v>0</v>
      </c>
      <c r="AR160" s="99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37"/>
        <v/>
      </c>
      <c r="AT160" s="89" t="str">
        <f t="shared" si="138"/>
        <v/>
      </c>
      <c r="AU160" s="89" t="str">
        <f t="shared" si="139"/>
        <v/>
      </c>
      <c r="AV160" s="89" t="str">
        <f t="shared" si="140"/>
        <v/>
      </c>
      <c r="AW160" s="89" t="str">
        <f t="shared" si="141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42"/>
        <v>0</v>
      </c>
      <c r="AZ160" s="89">
        <f t="shared" si="143"/>
        <v>0</v>
      </c>
      <c r="BA160" s="116">
        <f t="shared" si="144"/>
        <v>0</v>
      </c>
      <c r="BB160" s="116">
        <f t="shared" si="145"/>
        <v>0</v>
      </c>
      <c r="BC160" s="116">
        <f t="shared" si="146"/>
        <v>0</v>
      </c>
      <c r="BD160" s="116">
        <f t="shared" si="154"/>
        <v>0</v>
      </c>
      <c r="BE160" s="89">
        <f t="shared" si="150"/>
        <v>0</v>
      </c>
      <c r="BF160" s="90">
        <f t="shared" si="151"/>
        <v>0.01</v>
      </c>
      <c r="BG160" s="90">
        <f t="shared" si="152"/>
        <v>3.3333333333333333E-2</v>
      </c>
      <c r="BH160" s="116">
        <f t="shared" si="153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3">
        <v>1200</v>
      </c>
      <c r="L161" s="121" t="str">
        <f t="shared" si="147"/>
        <v>0</v>
      </c>
      <c r="M161" s="122">
        <f t="shared" si="148"/>
        <v>0</v>
      </c>
      <c r="N161" s="90">
        <f t="shared" si="121"/>
        <v>0</v>
      </c>
      <c r="O161" s="123">
        <f>IF(L161="",0,IFERROR(IF($M$2="ESTUDO",BH161,N161)+INDEX(AUXILIAR!$AO$3:$AO$8,MATCH(L161,{0;2;5;10;20;50},1))*1440,IF(M161="ESTUDO",BH161,N161)))</f>
        <v>0</v>
      </c>
      <c r="P161" s="94">
        <f t="shared" si="122"/>
        <v>0</v>
      </c>
      <c r="Q161" s="94">
        <f t="shared" si="123"/>
        <v>0</v>
      </c>
      <c r="R161" s="91" t="s">
        <v>0</v>
      </c>
      <c r="S161" s="88">
        <f t="shared" si="124"/>
        <v>0</v>
      </c>
      <c r="T161" s="94">
        <f>((AM161/(1+AUXILIAR!$BJ$4))-((AM161/(1+AUXILIAR!$BJ$4))*AUXILIAR!$BK$4))-(((AM161/(1+AUXILIAR!$BJ$4))-((AM161/(1+AUXILIAR!$BJ$4))*AUXILIAR!$BK$4))*((AUXILIAR!$BL$4+AUXILIAR!$BM$4)))</f>
        <v>0</v>
      </c>
      <c r="U161" s="94">
        <f>((S161/(1+AUXILIAR!$BJ$7))-((S161/(1+AUXILIAR!$BJ$7))*AUXILIAR!$BK$7))-(((S161/(1+AUXILIAR!$BJ$7))-((S161/(1+AUXILIAR!$BJ$7))*AUXILIAR!$BK$7))*((AUXILIAR!$BL$7+AUXILIAR!$BM$7)))</f>
        <v>0</v>
      </c>
      <c r="V161" s="96">
        <f>AM161-(AM161/(1+AUXILIAR!$BJ$4))</f>
        <v>0</v>
      </c>
      <c r="W161" s="96">
        <f>(AM161-V161)*AUXILIAR!$BK$4</f>
        <v>0</v>
      </c>
      <c r="X161" s="96">
        <f>(AM161-V161-W161)*(AUXILIAR!$BL$4+AUXILIAR!$BM$4)</f>
        <v>0</v>
      </c>
      <c r="Y161" s="96">
        <f>X161-(X161/(1+AUXILIAR!$BJ$7))</f>
        <v>0</v>
      </c>
      <c r="Z161" s="96">
        <f>(S161-Y161)*AUXILIAR!$BK$7</f>
        <v>0</v>
      </c>
      <c r="AA161" s="96">
        <f>(S161-Y161-Z161)*(AUXILIAR!$BL$7+AUXILIAR!$BM$7)</f>
        <v>0</v>
      </c>
      <c r="AB161" s="97">
        <f t="shared" si="125"/>
        <v>0</v>
      </c>
      <c r="AC161" s="97">
        <f t="shared" si="126"/>
        <v>0</v>
      </c>
      <c r="AD161" s="97">
        <f t="shared" si="127"/>
        <v>0</v>
      </c>
      <c r="AE161" s="97">
        <f t="shared" si="128"/>
        <v>0</v>
      </c>
      <c r="AF161" s="97">
        <f t="shared" si="129"/>
        <v>0</v>
      </c>
      <c r="AG161" s="96">
        <f t="shared" si="130"/>
        <v>-1</v>
      </c>
      <c r="AH161" s="94">
        <f t="shared" si="131"/>
        <v>0</v>
      </c>
      <c r="AI161" s="98">
        <f t="shared" si="132"/>
        <v>0</v>
      </c>
      <c r="AJ161" s="94">
        <f t="shared" si="133"/>
        <v>0</v>
      </c>
      <c r="AK161" s="94">
        <f t="shared" si="134"/>
        <v>0</v>
      </c>
      <c r="AL161" s="94">
        <f>AUXILIAR!$BM$12</f>
        <v>1</v>
      </c>
      <c r="AM161" s="94">
        <f>IF($E$2="XADREZ",
     IFERROR(VLOOKUP(G161,AUXILIAR!AB:AC,2,TRUE),0),
     IF(AC158="SIM", 0, IFERROR(VLOOKUP(G161,AUXILIAR!AB:AC,2,TRUE),0))
)</f>
        <v>0</v>
      </c>
      <c r="AN161" s="124">
        <f t="shared" si="149"/>
        <v>0</v>
      </c>
      <c r="AO161" s="94">
        <f t="shared" si="135"/>
        <v>0</v>
      </c>
      <c r="AP161" s="94">
        <f t="shared" si="136"/>
        <v>0</v>
      </c>
      <c r="AQ161" s="124">
        <f>IFERROR(INDEX(AUXILIAR!$AG$3:$AG$28,MATCH(G161,AUXILIAR!$AH$3:$AH$28,1))*AM161,0)</f>
        <v>0</v>
      </c>
      <c r="AR161" s="99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37"/>
        <v/>
      </c>
      <c r="AT161" s="89" t="str">
        <f t="shared" si="138"/>
        <v/>
      </c>
      <c r="AU161" s="89" t="str">
        <f t="shared" si="139"/>
        <v/>
      </c>
      <c r="AV161" s="89" t="str">
        <f t="shared" si="140"/>
        <v/>
      </c>
      <c r="AW161" s="89" t="str">
        <f t="shared" si="141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42"/>
        <v>0</v>
      </c>
      <c r="AZ161" s="89">
        <f t="shared" si="143"/>
        <v>0</v>
      </c>
      <c r="BA161" s="116">
        <f t="shared" si="144"/>
        <v>0</v>
      </c>
      <c r="BB161" s="116">
        <f t="shared" si="145"/>
        <v>0</v>
      </c>
      <c r="BC161" s="116">
        <f t="shared" si="146"/>
        <v>0</v>
      </c>
      <c r="BD161" s="116">
        <f t="shared" si="154"/>
        <v>0</v>
      </c>
      <c r="BE161" s="89">
        <f t="shared" si="150"/>
        <v>0</v>
      </c>
      <c r="BF161" s="90">
        <f t="shared" si="151"/>
        <v>0.01</v>
      </c>
      <c r="BG161" s="90">
        <f t="shared" si="152"/>
        <v>3.3333333333333333E-2</v>
      </c>
      <c r="BH161" s="116">
        <f t="shared" si="153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3">
        <v>1200</v>
      </c>
      <c r="L162" s="121" t="str">
        <f t="shared" si="147"/>
        <v>0</v>
      </c>
      <c r="M162" s="122">
        <f t="shared" si="148"/>
        <v>0</v>
      </c>
      <c r="N162" s="90">
        <f t="shared" si="121"/>
        <v>0</v>
      </c>
      <c r="O162" s="123">
        <f>IF(L162="",0,IFERROR(IF($M$2="ESTUDO",BH162,N162)+INDEX(AUXILIAR!$AO$3:$AO$8,MATCH(L162,{0;2;5;10;20;50},1))*1440,IF(M162="ESTUDO",BH162,N162)))</f>
        <v>0</v>
      </c>
      <c r="P162" s="94">
        <f t="shared" si="122"/>
        <v>0</v>
      </c>
      <c r="Q162" s="94">
        <f t="shared" si="123"/>
        <v>0</v>
      </c>
      <c r="R162" s="91" t="s">
        <v>0</v>
      </c>
      <c r="S162" s="88">
        <f t="shared" si="124"/>
        <v>0</v>
      </c>
      <c r="T162" s="94">
        <f>((AM162/(1+AUXILIAR!$BJ$4))-((AM162/(1+AUXILIAR!$BJ$4))*AUXILIAR!$BK$4))-(((AM162/(1+AUXILIAR!$BJ$4))-((AM162/(1+AUXILIAR!$BJ$4))*AUXILIAR!$BK$4))*((AUXILIAR!$BL$4+AUXILIAR!$BM$4)))</f>
        <v>0</v>
      </c>
      <c r="U162" s="94">
        <f>((S162/(1+AUXILIAR!$BJ$7))-((S162/(1+AUXILIAR!$BJ$7))*AUXILIAR!$BK$7))-(((S162/(1+AUXILIAR!$BJ$7))-((S162/(1+AUXILIAR!$BJ$7))*AUXILIAR!$BK$7))*((AUXILIAR!$BL$7+AUXILIAR!$BM$7)))</f>
        <v>0</v>
      </c>
      <c r="V162" s="96">
        <f>AM162-(AM162/(1+AUXILIAR!$BJ$4))</f>
        <v>0</v>
      </c>
      <c r="W162" s="96">
        <f>(AM162-V162)*AUXILIAR!$BK$4</f>
        <v>0</v>
      </c>
      <c r="X162" s="96">
        <f>(AM162-V162-W162)*(AUXILIAR!$BL$4+AUXILIAR!$BM$4)</f>
        <v>0</v>
      </c>
      <c r="Y162" s="96">
        <f>X162-(X162/(1+AUXILIAR!$BJ$7))</f>
        <v>0</v>
      </c>
      <c r="Z162" s="96">
        <f>(S162-Y162)*AUXILIAR!$BK$7</f>
        <v>0</v>
      </c>
      <c r="AA162" s="96">
        <f>(S162-Y162-Z162)*(AUXILIAR!$BL$7+AUXILIAR!$BM$7)</f>
        <v>0</v>
      </c>
      <c r="AB162" s="97">
        <f t="shared" si="125"/>
        <v>0</v>
      </c>
      <c r="AC162" s="97">
        <f t="shared" si="126"/>
        <v>0</v>
      </c>
      <c r="AD162" s="97">
        <f t="shared" si="127"/>
        <v>0</v>
      </c>
      <c r="AE162" s="97">
        <f t="shared" si="128"/>
        <v>0</v>
      </c>
      <c r="AF162" s="97">
        <f t="shared" si="129"/>
        <v>0</v>
      </c>
      <c r="AG162" s="96">
        <f t="shared" si="130"/>
        <v>-1</v>
      </c>
      <c r="AH162" s="94">
        <f t="shared" si="131"/>
        <v>0</v>
      </c>
      <c r="AI162" s="98">
        <f t="shared" si="132"/>
        <v>0</v>
      </c>
      <c r="AJ162" s="94">
        <f t="shared" si="133"/>
        <v>0</v>
      </c>
      <c r="AK162" s="94">
        <f t="shared" si="134"/>
        <v>0</v>
      </c>
      <c r="AL162" s="94">
        <f>AUXILIAR!$BM$12</f>
        <v>1</v>
      </c>
      <c r="AM162" s="94">
        <f>IF($E$2="XADREZ",
     IFERROR(VLOOKUP(G162,AUXILIAR!AB:AC,2,TRUE),0),
     IF(AC159="SIM", 0, IFERROR(VLOOKUP(G162,AUXILIAR!AB:AC,2,TRUE),0))
)</f>
        <v>0</v>
      </c>
      <c r="AN162" s="124">
        <f t="shared" si="149"/>
        <v>0</v>
      </c>
      <c r="AO162" s="94">
        <f t="shared" si="135"/>
        <v>0</v>
      </c>
      <c r="AP162" s="94">
        <f t="shared" si="136"/>
        <v>0</v>
      </c>
      <c r="AQ162" s="124">
        <f>IFERROR(INDEX(AUXILIAR!$AG$3:$AG$28,MATCH(G162,AUXILIAR!$AH$3:$AH$28,1))*AM162,0)</f>
        <v>0</v>
      </c>
      <c r="AR162" s="99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37"/>
        <v/>
      </c>
      <c r="AT162" s="89" t="str">
        <f t="shared" si="138"/>
        <v/>
      </c>
      <c r="AU162" s="89" t="str">
        <f t="shared" si="139"/>
        <v/>
      </c>
      <c r="AV162" s="89" t="str">
        <f t="shared" si="140"/>
        <v/>
      </c>
      <c r="AW162" s="89" t="str">
        <f t="shared" si="141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42"/>
        <v>0</v>
      </c>
      <c r="AZ162" s="89">
        <f t="shared" si="143"/>
        <v>0</v>
      </c>
      <c r="BA162" s="116">
        <f t="shared" si="144"/>
        <v>0</v>
      </c>
      <c r="BB162" s="116">
        <f t="shared" si="145"/>
        <v>0</v>
      </c>
      <c r="BC162" s="116">
        <f t="shared" si="146"/>
        <v>0</v>
      </c>
      <c r="BD162" s="116">
        <f t="shared" si="154"/>
        <v>0</v>
      </c>
      <c r="BE162" s="89">
        <f t="shared" si="150"/>
        <v>0</v>
      </c>
      <c r="BF162" s="90">
        <f t="shared" si="151"/>
        <v>0.01</v>
      </c>
      <c r="BG162" s="90">
        <f t="shared" si="152"/>
        <v>3.3333333333333333E-2</v>
      </c>
      <c r="BH162" s="116">
        <f t="shared" si="153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3">
        <v>1200</v>
      </c>
      <c r="L163" s="121" t="str">
        <f t="shared" si="147"/>
        <v>0</v>
      </c>
      <c r="M163" s="122">
        <f t="shared" si="148"/>
        <v>0</v>
      </c>
      <c r="N163" s="90">
        <f t="shared" si="121"/>
        <v>0</v>
      </c>
      <c r="O163" s="123">
        <f>IF(L163="",0,IFERROR(IF($M$2="ESTUDO",BH163,N163)+INDEX(AUXILIAR!$AO$3:$AO$8,MATCH(L163,{0;2;5;10;20;50},1))*1440,IF(M163="ESTUDO",BH163,N163)))</f>
        <v>0</v>
      </c>
      <c r="P163" s="94">
        <f t="shared" si="122"/>
        <v>0</v>
      </c>
      <c r="Q163" s="94">
        <f t="shared" si="123"/>
        <v>0</v>
      </c>
      <c r="R163" s="91" t="s">
        <v>0</v>
      </c>
      <c r="S163" s="88">
        <f t="shared" si="124"/>
        <v>0</v>
      </c>
      <c r="T163" s="94">
        <f>((AM163/(1+AUXILIAR!$BJ$4))-((AM163/(1+AUXILIAR!$BJ$4))*AUXILIAR!$BK$4))-(((AM163/(1+AUXILIAR!$BJ$4))-((AM163/(1+AUXILIAR!$BJ$4))*AUXILIAR!$BK$4))*((AUXILIAR!$BL$4+AUXILIAR!$BM$4)))</f>
        <v>0</v>
      </c>
      <c r="U163" s="94">
        <f>((S163/(1+AUXILIAR!$BJ$7))-((S163/(1+AUXILIAR!$BJ$7))*AUXILIAR!$BK$7))-(((S163/(1+AUXILIAR!$BJ$7))-((S163/(1+AUXILIAR!$BJ$7))*AUXILIAR!$BK$7))*((AUXILIAR!$BL$7+AUXILIAR!$BM$7)))</f>
        <v>0</v>
      </c>
      <c r="V163" s="96">
        <f>AM163-(AM163/(1+AUXILIAR!$BJ$4))</f>
        <v>0</v>
      </c>
      <c r="W163" s="96">
        <f>(AM163-V163)*AUXILIAR!$BK$4</f>
        <v>0</v>
      </c>
      <c r="X163" s="96">
        <f>(AM163-V163-W163)*(AUXILIAR!$BL$4+AUXILIAR!$BM$4)</f>
        <v>0</v>
      </c>
      <c r="Y163" s="96">
        <f>X163-(X163/(1+AUXILIAR!$BJ$7))</f>
        <v>0</v>
      </c>
      <c r="Z163" s="96">
        <f>(S163-Y163)*AUXILIAR!$BK$7</f>
        <v>0</v>
      </c>
      <c r="AA163" s="96">
        <f>(S163-Y163-Z163)*(AUXILIAR!$BL$7+AUXILIAR!$BM$7)</f>
        <v>0</v>
      </c>
      <c r="AB163" s="97">
        <f t="shared" si="125"/>
        <v>0</v>
      </c>
      <c r="AC163" s="97">
        <f t="shared" si="126"/>
        <v>0</v>
      </c>
      <c r="AD163" s="97">
        <f t="shared" si="127"/>
        <v>0</v>
      </c>
      <c r="AE163" s="97">
        <f t="shared" si="128"/>
        <v>0</v>
      </c>
      <c r="AF163" s="97">
        <f t="shared" si="129"/>
        <v>0</v>
      </c>
      <c r="AG163" s="96">
        <f t="shared" si="130"/>
        <v>-1</v>
      </c>
      <c r="AH163" s="94">
        <f t="shared" si="131"/>
        <v>0</v>
      </c>
      <c r="AI163" s="98">
        <f t="shared" si="132"/>
        <v>0</v>
      </c>
      <c r="AJ163" s="94">
        <f t="shared" si="133"/>
        <v>0</v>
      </c>
      <c r="AK163" s="94">
        <f t="shared" si="134"/>
        <v>0</v>
      </c>
      <c r="AL163" s="94">
        <f>AUXILIAR!$BM$12</f>
        <v>1</v>
      </c>
      <c r="AM163" s="94">
        <f>IF($E$2="XADREZ",
     IFERROR(VLOOKUP(G163,AUXILIAR!AB:AC,2,TRUE),0),
     IF(AC160="SIM", 0, IFERROR(VLOOKUP(G163,AUXILIAR!AB:AC,2,TRUE),0))
)</f>
        <v>0</v>
      </c>
      <c r="AN163" s="124">
        <f t="shared" si="149"/>
        <v>0</v>
      </c>
      <c r="AO163" s="94">
        <f t="shared" si="135"/>
        <v>0</v>
      </c>
      <c r="AP163" s="94">
        <f t="shared" si="136"/>
        <v>0</v>
      </c>
      <c r="AQ163" s="124">
        <f>IFERROR(INDEX(AUXILIAR!$AG$3:$AG$28,MATCH(G163,AUXILIAR!$AH$3:$AH$28,1))*AM163,0)</f>
        <v>0</v>
      </c>
      <c r="AR163" s="99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37"/>
        <v/>
      </c>
      <c r="AT163" s="89" t="str">
        <f t="shared" si="138"/>
        <v/>
      </c>
      <c r="AU163" s="89" t="str">
        <f t="shared" si="139"/>
        <v/>
      </c>
      <c r="AV163" s="89" t="str">
        <f t="shared" si="140"/>
        <v/>
      </c>
      <c r="AW163" s="89" t="str">
        <f t="shared" si="141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42"/>
        <v>0</v>
      </c>
      <c r="AZ163" s="89">
        <f t="shared" si="143"/>
        <v>0</v>
      </c>
      <c r="BA163" s="116">
        <f t="shared" si="144"/>
        <v>0</v>
      </c>
      <c r="BB163" s="116">
        <f t="shared" si="145"/>
        <v>0</v>
      </c>
      <c r="BC163" s="116">
        <f t="shared" si="146"/>
        <v>0</v>
      </c>
      <c r="BD163" s="116">
        <f t="shared" si="154"/>
        <v>0</v>
      </c>
      <c r="BE163" s="89">
        <f t="shared" si="150"/>
        <v>0</v>
      </c>
      <c r="BF163" s="90">
        <f t="shared" si="151"/>
        <v>0.01</v>
      </c>
      <c r="BG163" s="90">
        <f t="shared" si="152"/>
        <v>3.3333333333333333E-2</v>
      </c>
      <c r="BH163" s="116">
        <f t="shared" si="153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3">
        <v>1200</v>
      </c>
      <c r="L164" s="121" t="str">
        <f t="shared" si="147"/>
        <v>0</v>
      </c>
      <c r="M164" s="122">
        <f t="shared" si="148"/>
        <v>0</v>
      </c>
      <c r="N164" s="90">
        <f t="shared" si="121"/>
        <v>0</v>
      </c>
      <c r="O164" s="123">
        <f>IF(L164="",0,IFERROR(IF($M$2="ESTUDO",BH164,N164)+INDEX(AUXILIAR!$AO$3:$AO$8,MATCH(L164,{0;2;5;10;20;50},1))*1440,IF(M164="ESTUDO",BH164,N164)))</f>
        <v>0</v>
      </c>
      <c r="P164" s="94">
        <f t="shared" si="122"/>
        <v>0</v>
      </c>
      <c r="Q164" s="94">
        <f t="shared" si="123"/>
        <v>0</v>
      </c>
      <c r="R164" s="91" t="s">
        <v>0</v>
      </c>
      <c r="S164" s="88">
        <f t="shared" si="124"/>
        <v>0</v>
      </c>
      <c r="T164" s="94">
        <f>((AM164/(1+AUXILIAR!$BJ$4))-((AM164/(1+AUXILIAR!$BJ$4))*AUXILIAR!$BK$4))-(((AM164/(1+AUXILIAR!$BJ$4))-((AM164/(1+AUXILIAR!$BJ$4))*AUXILIAR!$BK$4))*((AUXILIAR!$BL$4+AUXILIAR!$BM$4)))</f>
        <v>0</v>
      </c>
      <c r="U164" s="94">
        <f>((S164/(1+AUXILIAR!$BJ$7))-((S164/(1+AUXILIAR!$BJ$7))*AUXILIAR!$BK$7))-(((S164/(1+AUXILIAR!$BJ$7))-((S164/(1+AUXILIAR!$BJ$7))*AUXILIAR!$BK$7))*((AUXILIAR!$BL$7+AUXILIAR!$BM$7)))</f>
        <v>0</v>
      </c>
      <c r="V164" s="96">
        <f>AM164-(AM164/(1+AUXILIAR!$BJ$4))</f>
        <v>0</v>
      </c>
      <c r="W164" s="96">
        <f>(AM164-V164)*AUXILIAR!$BK$4</f>
        <v>0</v>
      </c>
      <c r="X164" s="96">
        <f>(AM164-V164-W164)*(AUXILIAR!$BL$4+AUXILIAR!$BM$4)</f>
        <v>0</v>
      </c>
      <c r="Y164" s="96">
        <f>X164-(X164/(1+AUXILIAR!$BJ$7))</f>
        <v>0</v>
      </c>
      <c r="Z164" s="96">
        <f>(S164-Y164)*AUXILIAR!$BK$7</f>
        <v>0</v>
      </c>
      <c r="AA164" s="96">
        <f>(S164-Y164-Z164)*(AUXILIAR!$BL$7+AUXILIAR!$BM$7)</f>
        <v>0</v>
      </c>
      <c r="AB164" s="97">
        <f t="shared" si="125"/>
        <v>0</v>
      </c>
      <c r="AC164" s="97">
        <f t="shared" si="126"/>
        <v>0</v>
      </c>
      <c r="AD164" s="97">
        <f t="shared" si="127"/>
        <v>0</v>
      </c>
      <c r="AE164" s="97">
        <f t="shared" si="128"/>
        <v>0</v>
      </c>
      <c r="AF164" s="97">
        <f t="shared" si="129"/>
        <v>0</v>
      </c>
      <c r="AG164" s="96">
        <f t="shared" si="130"/>
        <v>-1</v>
      </c>
      <c r="AH164" s="94">
        <f t="shared" si="131"/>
        <v>0</v>
      </c>
      <c r="AI164" s="98">
        <f t="shared" si="132"/>
        <v>0</v>
      </c>
      <c r="AJ164" s="94">
        <f t="shared" si="133"/>
        <v>0</v>
      </c>
      <c r="AK164" s="94">
        <f t="shared" si="134"/>
        <v>0</v>
      </c>
      <c r="AL164" s="94">
        <f>AUXILIAR!$BM$12</f>
        <v>1</v>
      </c>
      <c r="AM164" s="94">
        <f>IF($E$2="XADREZ",
     IFERROR(VLOOKUP(G164,AUXILIAR!AB:AC,2,TRUE),0),
     IF(AC161="SIM", 0, IFERROR(VLOOKUP(G164,AUXILIAR!AB:AC,2,TRUE),0))
)</f>
        <v>0</v>
      </c>
      <c r="AN164" s="124">
        <f t="shared" si="149"/>
        <v>0</v>
      </c>
      <c r="AO164" s="94">
        <f t="shared" si="135"/>
        <v>0</v>
      </c>
      <c r="AP164" s="94">
        <f t="shared" si="136"/>
        <v>0</v>
      </c>
      <c r="AQ164" s="124">
        <f>IFERROR(INDEX(AUXILIAR!$AG$3:$AG$28,MATCH(G164,AUXILIAR!$AH$3:$AH$28,1))*AM164,0)</f>
        <v>0</v>
      </c>
      <c r="AR164" s="99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37"/>
        <v/>
      </c>
      <c r="AT164" s="89" t="str">
        <f t="shared" si="138"/>
        <v/>
      </c>
      <c r="AU164" s="89" t="str">
        <f t="shared" si="139"/>
        <v/>
      </c>
      <c r="AV164" s="89" t="str">
        <f t="shared" si="140"/>
        <v/>
      </c>
      <c r="AW164" s="89" t="str">
        <f t="shared" si="141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42"/>
        <v>0</v>
      </c>
      <c r="AZ164" s="89">
        <f t="shared" si="143"/>
        <v>0</v>
      </c>
      <c r="BA164" s="116">
        <f t="shared" si="144"/>
        <v>0</v>
      </c>
      <c r="BB164" s="116">
        <f t="shared" si="145"/>
        <v>0</v>
      </c>
      <c r="BC164" s="116">
        <f t="shared" si="146"/>
        <v>0</v>
      </c>
      <c r="BD164" s="116">
        <f t="shared" si="154"/>
        <v>0</v>
      </c>
      <c r="BE164" s="89">
        <f t="shared" si="150"/>
        <v>0</v>
      </c>
      <c r="BF164" s="90">
        <f t="shared" si="151"/>
        <v>0.01</v>
      </c>
      <c r="BG164" s="90">
        <f t="shared" si="152"/>
        <v>3.3333333333333333E-2</v>
      </c>
      <c r="BH164" s="116">
        <f t="shared" si="153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3">
        <v>1200</v>
      </c>
      <c r="L165" s="121" t="str">
        <f t="shared" si="147"/>
        <v>0</v>
      </c>
      <c r="M165" s="122">
        <f t="shared" si="148"/>
        <v>0</v>
      </c>
      <c r="N165" s="90">
        <f t="shared" si="121"/>
        <v>0</v>
      </c>
      <c r="O165" s="123">
        <f>IF(L165="",0,IFERROR(IF($M$2="ESTUDO",BH165,N165)+INDEX(AUXILIAR!$AO$3:$AO$8,MATCH(L165,{0;2;5;10;20;50},1))*1440,IF(M165="ESTUDO",BH165,N165)))</f>
        <v>0</v>
      </c>
      <c r="P165" s="94">
        <f t="shared" si="122"/>
        <v>0</v>
      </c>
      <c r="Q165" s="94">
        <f t="shared" si="123"/>
        <v>0</v>
      </c>
      <c r="R165" s="91" t="s">
        <v>0</v>
      </c>
      <c r="S165" s="88">
        <f t="shared" si="124"/>
        <v>0</v>
      </c>
      <c r="T165" s="94">
        <f>((AM165/(1+AUXILIAR!$BJ$4))-((AM165/(1+AUXILIAR!$BJ$4))*AUXILIAR!$BK$4))-(((AM165/(1+AUXILIAR!$BJ$4))-((AM165/(1+AUXILIAR!$BJ$4))*AUXILIAR!$BK$4))*((AUXILIAR!$BL$4+AUXILIAR!$BM$4)))</f>
        <v>0</v>
      </c>
      <c r="U165" s="94">
        <f>((S165/(1+AUXILIAR!$BJ$7))-((S165/(1+AUXILIAR!$BJ$7))*AUXILIAR!$BK$7))-(((S165/(1+AUXILIAR!$BJ$7))-((S165/(1+AUXILIAR!$BJ$7))*AUXILIAR!$BK$7))*((AUXILIAR!$BL$7+AUXILIAR!$BM$7)))</f>
        <v>0</v>
      </c>
      <c r="V165" s="96">
        <f>AM165-(AM165/(1+AUXILIAR!$BJ$4))</f>
        <v>0</v>
      </c>
      <c r="W165" s="96">
        <f>(AM165-V165)*AUXILIAR!$BK$4</f>
        <v>0</v>
      </c>
      <c r="X165" s="96">
        <f>(AM165-V165-W165)*(AUXILIAR!$BL$4+AUXILIAR!$BM$4)</f>
        <v>0</v>
      </c>
      <c r="Y165" s="96">
        <f>X165-(X165/(1+AUXILIAR!$BJ$7))</f>
        <v>0</v>
      </c>
      <c r="Z165" s="96">
        <f>(S165-Y165)*AUXILIAR!$BK$7</f>
        <v>0</v>
      </c>
      <c r="AA165" s="96">
        <f>(S165-Y165-Z165)*(AUXILIAR!$BL$7+AUXILIAR!$BM$7)</f>
        <v>0</v>
      </c>
      <c r="AB165" s="97">
        <f t="shared" si="125"/>
        <v>0</v>
      </c>
      <c r="AC165" s="97">
        <f t="shared" si="126"/>
        <v>0</v>
      </c>
      <c r="AD165" s="97">
        <f t="shared" si="127"/>
        <v>0</v>
      </c>
      <c r="AE165" s="97">
        <f t="shared" si="128"/>
        <v>0</v>
      </c>
      <c r="AF165" s="97">
        <f t="shared" si="129"/>
        <v>0</v>
      </c>
      <c r="AG165" s="96">
        <f t="shared" si="130"/>
        <v>-1</v>
      </c>
      <c r="AH165" s="94">
        <f t="shared" si="131"/>
        <v>0</v>
      </c>
      <c r="AI165" s="98">
        <f t="shared" si="132"/>
        <v>0</v>
      </c>
      <c r="AJ165" s="94">
        <f t="shared" si="133"/>
        <v>0</v>
      </c>
      <c r="AK165" s="94">
        <f t="shared" si="134"/>
        <v>0</v>
      </c>
      <c r="AL165" s="94">
        <f>AUXILIAR!$BM$12</f>
        <v>1</v>
      </c>
      <c r="AM165" s="94">
        <f>IF($E$2="XADREZ",
     IFERROR(VLOOKUP(G165,AUXILIAR!AB:AC,2,TRUE),0),
     IF(AC162="SIM", 0, IFERROR(VLOOKUP(G165,AUXILIAR!AB:AC,2,TRUE),0))
)</f>
        <v>0</v>
      </c>
      <c r="AN165" s="124">
        <f t="shared" si="149"/>
        <v>0</v>
      </c>
      <c r="AO165" s="94">
        <f t="shared" si="135"/>
        <v>0</v>
      </c>
      <c r="AP165" s="94">
        <f t="shared" si="136"/>
        <v>0</v>
      </c>
      <c r="AQ165" s="124">
        <f>IFERROR(INDEX(AUXILIAR!$AG$3:$AG$28,MATCH(G165,AUXILIAR!$AH$3:$AH$28,1))*AM165,0)</f>
        <v>0</v>
      </c>
      <c r="AR165" s="99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37"/>
        <v/>
      </c>
      <c r="AT165" s="89" t="str">
        <f t="shared" si="138"/>
        <v/>
      </c>
      <c r="AU165" s="89" t="str">
        <f t="shared" si="139"/>
        <v/>
      </c>
      <c r="AV165" s="89" t="str">
        <f t="shared" si="140"/>
        <v/>
      </c>
      <c r="AW165" s="89" t="str">
        <f t="shared" si="141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42"/>
        <v>0</v>
      </c>
      <c r="AZ165" s="89">
        <f t="shared" si="143"/>
        <v>0</v>
      </c>
      <c r="BA165" s="116">
        <f t="shared" si="144"/>
        <v>0</v>
      </c>
      <c r="BB165" s="116">
        <f t="shared" si="145"/>
        <v>0</v>
      </c>
      <c r="BC165" s="116">
        <f t="shared" si="146"/>
        <v>0</v>
      </c>
      <c r="BD165" s="116">
        <f t="shared" si="154"/>
        <v>0</v>
      </c>
      <c r="BE165" s="89">
        <f t="shared" si="150"/>
        <v>0</v>
      </c>
      <c r="BF165" s="90">
        <f t="shared" si="151"/>
        <v>0.01</v>
      </c>
      <c r="BG165" s="90">
        <f t="shared" si="152"/>
        <v>3.3333333333333333E-2</v>
      </c>
      <c r="BH165" s="116">
        <f t="shared" si="153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3">
        <v>1200</v>
      </c>
      <c r="L166" s="121" t="str">
        <f t="shared" si="147"/>
        <v>0</v>
      </c>
      <c r="M166" s="122">
        <f t="shared" si="148"/>
        <v>0</v>
      </c>
      <c r="N166" s="90">
        <f t="shared" si="121"/>
        <v>0</v>
      </c>
      <c r="O166" s="123">
        <f>IF(L166="",0,IFERROR(IF($M$2="ESTUDO",BH166,N166)+INDEX(AUXILIAR!$AO$3:$AO$8,MATCH(L166,{0;2;5;10;20;50},1))*1440,IF(M166="ESTUDO",BH166,N166)))</f>
        <v>0</v>
      </c>
      <c r="P166" s="94">
        <f t="shared" si="122"/>
        <v>0</v>
      </c>
      <c r="Q166" s="94">
        <f t="shared" si="123"/>
        <v>0</v>
      </c>
      <c r="R166" s="91" t="s">
        <v>0</v>
      </c>
      <c r="S166" s="88">
        <f t="shared" si="124"/>
        <v>0</v>
      </c>
      <c r="T166" s="94">
        <f>((AM166/(1+AUXILIAR!$BJ$4))-((AM166/(1+AUXILIAR!$BJ$4))*AUXILIAR!$BK$4))-(((AM166/(1+AUXILIAR!$BJ$4))-((AM166/(1+AUXILIAR!$BJ$4))*AUXILIAR!$BK$4))*((AUXILIAR!$BL$4+AUXILIAR!$BM$4)))</f>
        <v>0</v>
      </c>
      <c r="U166" s="94">
        <f>((S166/(1+AUXILIAR!$BJ$7))-((S166/(1+AUXILIAR!$BJ$7))*AUXILIAR!$BK$7))-(((S166/(1+AUXILIAR!$BJ$7))-((S166/(1+AUXILIAR!$BJ$7))*AUXILIAR!$BK$7))*((AUXILIAR!$BL$7+AUXILIAR!$BM$7)))</f>
        <v>0</v>
      </c>
      <c r="V166" s="96">
        <f>AM166-(AM166/(1+AUXILIAR!$BJ$4))</f>
        <v>0</v>
      </c>
      <c r="W166" s="96">
        <f>(AM166-V166)*AUXILIAR!$BK$4</f>
        <v>0</v>
      </c>
      <c r="X166" s="96">
        <f>(AM166-V166-W166)*(AUXILIAR!$BL$4+AUXILIAR!$BM$4)</f>
        <v>0</v>
      </c>
      <c r="Y166" s="96">
        <f>X166-(X166/(1+AUXILIAR!$BJ$7))</f>
        <v>0</v>
      </c>
      <c r="Z166" s="96">
        <f>(S166-Y166)*AUXILIAR!$BK$7</f>
        <v>0</v>
      </c>
      <c r="AA166" s="96">
        <f>(S166-Y166-Z166)*(AUXILIAR!$BL$7+AUXILIAR!$BM$7)</f>
        <v>0</v>
      </c>
      <c r="AB166" s="97">
        <f t="shared" si="125"/>
        <v>0</v>
      </c>
      <c r="AC166" s="97">
        <f t="shared" si="126"/>
        <v>0</v>
      </c>
      <c r="AD166" s="97">
        <f t="shared" si="127"/>
        <v>0</v>
      </c>
      <c r="AE166" s="97">
        <f t="shared" si="128"/>
        <v>0</v>
      </c>
      <c r="AF166" s="97">
        <f t="shared" si="129"/>
        <v>0</v>
      </c>
      <c r="AG166" s="96">
        <f t="shared" si="130"/>
        <v>-1</v>
      </c>
      <c r="AH166" s="94">
        <f t="shared" si="131"/>
        <v>0</v>
      </c>
      <c r="AI166" s="98">
        <f t="shared" si="132"/>
        <v>0</v>
      </c>
      <c r="AJ166" s="94">
        <f t="shared" si="133"/>
        <v>0</v>
      </c>
      <c r="AK166" s="94">
        <f t="shared" si="134"/>
        <v>0</v>
      </c>
      <c r="AL166" s="94">
        <f>AUXILIAR!$BM$12</f>
        <v>1</v>
      </c>
      <c r="AM166" s="94">
        <f>IF($E$2="XADREZ",
     IFERROR(VLOOKUP(G166,AUXILIAR!AB:AC,2,TRUE),0),
     IF(AC163="SIM", 0, IFERROR(VLOOKUP(G166,AUXILIAR!AB:AC,2,TRUE),0))
)</f>
        <v>0</v>
      </c>
      <c r="AN166" s="124">
        <f t="shared" si="149"/>
        <v>0</v>
      </c>
      <c r="AO166" s="94">
        <f t="shared" si="135"/>
        <v>0</v>
      </c>
      <c r="AP166" s="94">
        <f t="shared" si="136"/>
        <v>0</v>
      </c>
      <c r="AQ166" s="124">
        <f>IFERROR(INDEX(AUXILIAR!$AG$3:$AG$28,MATCH(G166,AUXILIAR!$AH$3:$AH$28,1))*AM166,0)</f>
        <v>0</v>
      </c>
      <c r="AR166" s="99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37"/>
        <v/>
      </c>
      <c r="AT166" s="89" t="str">
        <f t="shared" si="138"/>
        <v/>
      </c>
      <c r="AU166" s="89" t="str">
        <f t="shared" si="139"/>
        <v/>
      </c>
      <c r="AV166" s="89" t="str">
        <f t="shared" si="140"/>
        <v/>
      </c>
      <c r="AW166" s="89" t="str">
        <f t="shared" si="141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42"/>
        <v>0</v>
      </c>
      <c r="AZ166" s="89">
        <f t="shared" si="143"/>
        <v>0</v>
      </c>
      <c r="BA166" s="116">
        <f t="shared" si="144"/>
        <v>0</v>
      </c>
      <c r="BB166" s="116">
        <f t="shared" si="145"/>
        <v>0</v>
      </c>
      <c r="BC166" s="116">
        <f t="shared" si="146"/>
        <v>0</v>
      </c>
      <c r="BD166" s="116">
        <f t="shared" si="154"/>
        <v>0</v>
      </c>
      <c r="BE166" s="89">
        <f t="shared" si="150"/>
        <v>0</v>
      </c>
      <c r="BF166" s="90">
        <f t="shared" si="151"/>
        <v>0.01</v>
      </c>
      <c r="BG166" s="90">
        <f t="shared" si="152"/>
        <v>3.3333333333333333E-2</v>
      </c>
      <c r="BH166" s="116">
        <f t="shared" si="153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3">
        <v>1200</v>
      </c>
      <c r="L167" s="121" t="str">
        <f t="shared" si="147"/>
        <v>0</v>
      </c>
      <c r="M167" s="122">
        <f t="shared" si="148"/>
        <v>0</v>
      </c>
      <c r="N167" s="90">
        <f t="shared" si="121"/>
        <v>0</v>
      </c>
      <c r="O167" s="123">
        <f>IF(L167="",0,IFERROR(IF($M$2="ESTUDO",BH167,N167)+INDEX(AUXILIAR!$AO$3:$AO$8,MATCH(L167,{0;2;5;10;20;50},1))*1440,IF(M167="ESTUDO",BH167,N167)))</f>
        <v>0</v>
      </c>
      <c r="P167" s="94">
        <f t="shared" si="122"/>
        <v>0</v>
      </c>
      <c r="Q167" s="94">
        <f t="shared" si="123"/>
        <v>0</v>
      </c>
      <c r="R167" s="91" t="s">
        <v>0</v>
      </c>
      <c r="S167" s="88">
        <f t="shared" si="124"/>
        <v>0</v>
      </c>
      <c r="T167" s="94">
        <f>((AM167/(1+AUXILIAR!$BJ$4))-((AM167/(1+AUXILIAR!$BJ$4))*AUXILIAR!$BK$4))-(((AM167/(1+AUXILIAR!$BJ$4))-((AM167/(1+AUXILIAR!$BJ$4))*AUXILIAR!$BK$4))*((AUXILIAR!$BL$4+AUXILIAR!$BM$4)))</f>
        <v>0</v>
      </c>
      <c r="U167" s="94">
        <f>((S167/(1+AUXILIAR!$BJ$7))-((S167/(1+AUXILIAR!$BJ$7))*AUXILIAR!$BK$7))-(((S167/(1+AUXILIAR!$BJ$7))-((S167/(1+AUXILIAR!$BJ$7))*AUXILIAR!$BK$7))*((AUXILIAR!$BL$7+AUXILIAR!$BM$7)))</f>
        <v>0</v>
      </c>
      <c r="V167" s="96">
        <f>AM167-(AM167/(1+AUXILIAR!$BJ$4))</f>
        <v>0</v>
      </c>
      <c r="W167" s="96">
        <f>(AM167-V167)*AUXILIAR!$BK$4</f>
        <v>0</v>
      </c>
      <c r="X167" s="96">
        <f>(AM167-V167-W167)*(AUXILIAR!$BL$4+AUXILIAR!$BM$4)</f>
        <v>0</v>
      </c>
      <c r="Y167" s="96">
        <f>X167-(X167/(1+AUXILIAR!$BJ$7))</f>
        <v>0</v>
      </c>
      <c r="Z167" s="96">
        <f>(S167-Y167)*AUXILIAR!$BK$7</f>
        <v>0</v>
      </c>
      <c r="AA167" s="96">
        <f>(S167-Y167-Z167)*(AUXILIAR!$BL$7+AUXILIAR!$BM$7)</f>
        <v>0</v>
      </c>
      <c r="AB167" s="97">
        <f t="shared" si="125"/>
        <v>0</v>
      </c>
      <c r="AC167" s="97">
        <f t="shared" si="126"/>
        <v>0</v>
      </c>
      <c r="AD167" s="97">
        <f t="shared" si="127"/>
        <v>0</v>
      </c>
      <c r="AE167" s="97">
        <f t="shared" si="128"/>
        <v>0</v>
      </c>
      <c r="AF167" s="97">
        <f t="shared" si="129"/>
        <v>0</v>
      </c>
      <c r="AG167" s="96">
        <f t="shared" si="130"/>
        <v>-1</v>
      </c>
      <c r="AH167" s="94">
        <f t="shared" si="131"/>
        <v>0</v>
      </c>
      <c r="AI167" s="98">
        <f t="shared" si="132"/>
        <v>0</v>
      </c>
      <c r="AJ167" s="94">
        <f t="shared" si="133"/>
        <v>0</v>
      </c>
      <c r="AK167" s="94">
        <f t="shared" si="134"/>
        <v>0</v>
      </c>
      <c r="AL167" s="94">
        <f>AUXILIAR!$BM$12</f>
        <v>1</v>
      </c>
      <c r="AM167" s="94">
        <f>IF($E$2="XADREZ",
     IFERROR(VLOOKUP(G167,AUXILIAR!AB:AC,2,TRUE),0),
     IF(AC164="SIM", 0, IFERROR(VLOOKUP(G167,AUXILIAR!AB:AC,2,TRUE),0))
)</f>
        <v>0</v>
      </c>
      <c r="AN167" s="124">
        <f t="shared" si="149"/>
        <v>0</v>
      </c>
      <c r="AO167" s="94">
        <f t="shared" si="135"/>
        <v>0</v>
      </c>
      <c r="AP167" s="94">
        <f t="shared" si="136"/>
        <v>0</v>
      </c>
      <c r="AQ167" s="124">
        <f>IFERROR(INDEX(AUXILIAR!$AG$3:$AG$28,MATCH(G167,AUXILIAR!$AH$3:$AH$28,1))*AM167,0)</f>
        <v>0</v>
      </c>
      <c r="AR167" s="99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37"/>
        <v/>
      </c>
      <c r="AT167" s="89" t="str">
        <f t="shared" si="138"/>
        <v/>
      </c>
      <c r="AU167" s="89" t="str">
        <f t="shared" si="139"/>
        <v/>
      </c>
      <c r="AV167" s="89" t="str">
        <f t="shared" si="140"/>
        <v/>
      </c>
      <c r="AW167" s="89" t="str">
        <f t="shared" si="141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42"/>
        <v>0</v>
      </c>
      <c r="AZ167" s="89">
        <f t="shared" si="143"/>
        <v>0</v>
      </c>
      <c r="BA167" s="116">
        <f t="shared" si="144"/>
        <v>0</v>
      </c>
      <c r="BB167" s="116">
        <f t="shared" si="145"/>
        <v>0</v>
      </c>
      <c r="BC167" s="116">
        <f t="shared" si="146"/>
        <v>0</v>
      </c>
      <c r="BD167" s="116">
        <f t="shared" si="154"/>
        <v>0</v>
      </c>
      <c r="BE167" s="89">
        <f t="shared" si="150"/>
        <v>0</v>
      </c>
      <c r="BF167" s="90">
        <f t="shared" si="151"/>
        <v>0.01</v>
      </c>
      <c r="BG167" s="90">
        <f t="shared" si="152"/>
        <v>3.3333333333333333E-2</v>
      </c>
      <c r="BH167" s="116">
        <f t="shared" si="153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3">
        <v>1200</v>
      </c>
      <c r="L168" s="121" t="str">
        <f t="shared" si="147"/>
        <v>0</v>
      </c>
      <c r="M168" s="122">
        <f t="shared" si="148"/>
        <v>0</v>
      </c>
      <c r="N168" s="90">
        <f t="shared" si="121"/>
        <v>0</v>
      </c>
      <c r="O168" s="123">
        <f>IF(L168="",0,IFERROR(IF($M$2="ESTUDO",BH168,N168)+INDEX(AUXILIAR!$AO$3:$AO$8,MATCH(L168,{0;2;5;10;20;50},1))*1440,IF(M168="ESTUDO",BH168,N168)))</f>
        <v>0</v>
      </c>
      <c r="P168" s="94">
        <f t="shared" si="122"/>
        <v>0</v>
      </c>
      <c r="Q168" s="94">
        <f t="shared" si="123"/>
        <v>0</v>
      </c>
      <c r="R168" s="91" t="s">
        <v>0</v>
      </c>
      <c r="S168" s="88">
        <f t="shared" si="124"/>
        <v>0</v>
      </c>
      <c r="T168" s="94">
        <f>((AM168/(1+AUXILIAR!$BJ$4))-((AM168/(1+AUXILIAR!$BJ$4))*AUXILIAR!$BK$4))-(((AM168/(1+AUXILIAR!$BJ$4))-((AM168/(1+AUXILIAR!$BJ$4))*AUXILIAR!$BK$4))*((AUXILIAR!$BL$4+AUXILIAR!$BM$4)))</f>
        <v>0</v>
      </c>
      <c r="U168" s="94">
        <f>((S168/(1+AUXILIAR!$BJ$7))-((S168/(1+AUXILIAR!$BJ$7))*AUXILIAR!$BK$7))-(((S168/(1+AUXILIAR!$BJ$7))-((S168/(1+AUXILIAR!$BJ$7))*AUXILIAR!$BK$7))*((AUXILIAR!$BL$7+AUXILIAR!$BM$7)))</f>
        <v>0</v>
      </c>
      <c r="V168" s="96">
        <f>AM168-(AM168/(1+AUXILIAR!$BJ$4))</f>
        <v>0</v>
      </c>
      <c r="W168" s="96">
        <f>(AM168-V168)*AUXILIAR!$BK$4</f>
        <v>0</v>
      </c>
      <c r="X168" s="96">
        <f>(AM168-V168-W168)*(AUXILIAR!$BL$4+AUXILIAR!$BM$4)</f>
        <v>0</v>
      </c>
      <c r="Y168" s="96">
        <f>X168-(X168/(1+AUXILIAR!$BJ$7))</f>
        <v>0</v>
      </c>
      <c r="Z168" s="96">
        <f>(S168-Y168)*AUXILIAR!$BK$7</f>
        <v>0</v>
      </c>
      <c r="AA168" s="96">
        <f>(S168-Y168-Z168)*(AUXILIAR!$BL$7+AUXILIAR!$BM$7)</f>
        <v>0</v>
      </c>
      <c r="AB168" s="97">
        <f t="shared" si="125"/>
        <v>0</v>
      </c>
      <c r="AC168" s="97">
        <f t="shared" si="126"/>
        <v>0</v>
      </c>
      <c r="AD168" s="97">
        <f t="shared" si="127"/>
        <v>0</v>
      </c>
      <c r="AE168" s="97">
        <f t="shared" si="128"/>
        <v>0</v>
      </c>
      <c r="AF168" s="97">
        <f t="shared" si="129"/>
        <v>0</v>
      </c>
      <c r="AG168" s="96">
        <f t="shared" si="130"/>
        <v>-1</v>
      </c>
      <c r="AH168" s="94">
        <f t="shared" si="131"/>
        <v>0</v>
      </c>
      <c r="AI168" s="98">
        <f t="shared" si="132"/>
        <v>0</v>
      </c>
      <c r="AJ168" s="94">
        <f t="shared" si="133"/>
        <v>0</v>
      </c>
      <c r="AK168" s="94">
        <f t="shared" si="134"/>
        <v>0</v>
      </c>
      <c r="AL168" s="94">
        <f>AUXILIAR!$BM$12</f>
        <v>1</v>
      </c>
      <c r="AM168" s="94">
        <f>IF($E$2="XADREZ",
     IFERROR(VLOOKUP(G168,AUXILIAR!AB:AC,2,TRUE),0),
     IF(AC165="SIM", 0, IFERROR(VLOOKUP(G168,AUXILIAR!AB:AC,2,TRUE),0))
)</f>
        <v>0</v>
      </c>
      <c r="AN168" s="124">
        <f t="shared" si="149"/>
        <v>0</v>
      </c>
      <c r="AO168" s="94">
        <f t="shared" si="135"/>
        <v>0</v>
      </c>
      <c r="AP168" s="94">
        <f t="shared" si="136"/>
        <v>0</v>
      </c>
      <c r="AQ168" s="124">
        <f>IFERROR(INDEX(AUXILIAR!$AG$3:$AG$28,MATCH(G168,AUXILIAR!$AH$3:$AH$28,1))*AM168,0)</f>
        <v>0</v>
      </c>
      <c r="AR168" s="99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37"/>
        <v/>
      </c>
      <c r="AT168" s="89" t="str">
        <f t="shared" si="138"/>
        <v/>
      </c>
      <c r="AU168" s="89" t="str">
        <f t="shared" si="139"/>
        <v/>
      </c>
      <c r="AV168" s="89" t="str">
        <f t="shared" si="140"/>
        <v/>
      </c>
      <c r="AW168" s="89" t="str">
        <f t="shared" si="141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42"/>
        <v>0</v>
      </c>
      <c r="AZ168" s="89">
        <f t="shared" si="143"/>
        <v>0</v>
      </c>
      <c r="BA168" s="116">
        <f t="shared" si="144"/>
        <v>0</v>
      </c>
      <c r="BB168" s="116">
        <f t="shared" si="145"/>
        <v>0</v>
      </c>
      <c r="BC168" s="116">
        <f t="shared" si="146"/>
        <v>0</v>
      </c>
      <c r="BD168" s="116">
        <f t="shared" si="154"/>
        <v>0</v>
      </c>
      <c r="BE168" s="89">
        <f t="shared" si="150"/>
        <v>0</v>
      </c>
      <c r="BF168" s="90">
        <f t="shared" si="151"/>
        <v>0.01</v>
      </c>
      <c r="BG168" s="90">
        <f t="shared" si="152"/>
        <v>3.3333333333333333E-2</v>
      </c>
      <c r="BH168" s="116">
        <f t="shared" si="153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3">
        <v>1200</v>
      </c>
      <c r="L169" s="121" t="str">
        <f t="shared" si="147"/>
        <v>0</v>
      </c>
      <c r="M169" s="122">
        <f t="shared" si="148"/>
        <v>0</v>
      </c>
      <c r="N169" s="90">
        <f t="shared" si="121"/>
        <v>0</v>
      </c>
      <c r="O169" s="123">
        <f>IF(L169="",0,IFERROR(IF($M$2="ESTUDO",BH169,N169)+INDEX(AUXILIAR!$AO$3:$AO$8,MATCH(L169,{0;2;5;10;20;50},1))*1440,IF(M169="ESTUDO",BH169,N169)))</f>
        <v>0</v>
      </c>
      <c r="P169" s="94">
        <f t="shared" si="122"/>
        <v>0</v>
      </c>
      <c r="Q169" s="94">
        <f t="shared" si="123"/>
        <v>0</v>
      </c>
      <c r="R169" s="91" t="s">
        <v>0</v>
      </c>
      <c r="S169" s="88">
        <f t="shared" si="124"/>
        <v>0</v>
      </c>
      <c r="T169" s="94">
        <f>((AM169/(1+AUXILIAR!$BJ$4))-((AM169/(1+AUXILIAR!$BJ$4))*AUXILIAR!$BK$4))-(((AM169/(1+AUXILIAR!$BJ$4))-((AM169/(1+AUXILIAR!$BJ$4))*AUXILIAR!$BK$4))*((AUXILIAR!$BL$4+AUXILIAR!$BM$4)))</f>
        <v>0</v>
      </c>
      <c r="U169" s="94">
        <f>((S169/(1+AUXILIAR!$BJ$7))-((S169/(1+AUXILIAR!$BJ$7))*AUXILIAR!$BK$7))-(((S169/(1+AUXILIAR!$BJ$7))-((S169/(1+AUXILIAR!$BJ$7))*AUXILIAR!$BK$7))*((AUXILIAR!$BL$7+AUXILIAR!$BM$7)))</f>
        <v>0</v>
      </c>
      <c r="V169" s="96">
        <f>AM169-(AM169/(1+AUXILIAR!$BJ$4))</f>
        <v>0</v>
      </c>
      <c r="W169" s="96">
        <f>(AM169-V169)*AUXILIAR!$BK$4</f>
        <v>0</v>
      </c>
      <c r="X169" s="96">
        <f>(AM169-V169-W169)*(AUXILIAR!$BL$4+AUXILIAR!$BM$4)</f>
        <v>0</v>
      </c>
      <c r="Y169" s="96">
        <f>X169-(X169/(1+AUXILIAR!$BJ$7))</f>
        <v>0</v>
      </c>
      <c r="Z169" s="96">
        <f>(S169-Y169)*AUXILIAR!$BK$7</f>
        <v>0</v>
      </c>
      <c r="AA169" s="96">
        <f>(S169-Y169-Z169)*(AUXILIAR!$BL$7+AUXILIAR!$BM$7)</f>
        <v>0</v>
      </c>
      <c r="AB169" s="97">
        <f t="shared" si="125"/>
        <v>0</v>
      </c>
      <c r="AC169" s="97">
        <f t="shared" si="126"/>
        <v>0</v>
      </c>
      <c r="AD169" s="97">
        <f t="shared" si="127"/>
        <v>0</v>
      </c>
      <c r="AE169" s="97">
        <f t="shared" si="128"/>
        <v>0</v>
      </c>
      <c r="AF169" s="97">
        <f t="shared" si="129"/>
        <v>0</v>
      </c>
      <c r="AG169" s="96">
        <f t="shared" si="130"/>
        <v>-1</v>
      </c>
      <c r="AH169" s="94">
        <f t="shared" si="131"/>
        <v>0</v>
      </c>
      <c r="AI169" s="98">
        <f t="shared" si="132"/>
        <v>0</v>
      </c>
      <c r="AJ169" s="94">
        <f t="shared" si="133"/>
        <v>0</v>
      </c>
      <c r="AK169" s="94">
        <f t="shared" si="134"/>
        <v>0</v>
      </c>
      <c r="AL169" s="94">
        <f>AUXILIAR!$BM$12</f>
        <v>1</v>
      </c>
      <c r="AM169" s="94">
        <f>IF($E$2="XADREZ",
     IFERROR(VLOOKUP(G169,AUXILIAR!AB:AC,2,TRUE),0),
     IF(AC166="SIM", 0, IFERROR(VLOOKUP(G169,AUXILIAR!AB:AC,2,TRUE),0))
)</f>
        <v>0</v>
      </c>
      <c r="AN169" s="124">
        <f t="shared" si="149"/>
        <v>0</v>
      </c>
      <c r="AO169" s="94">
        <f t="shared" si="135"/>
        <v>0</v>
      </c>
      <c r="AP169" s="94">
        <f t="shared" si="136"/>
        <v>0</v>
      </c>
      <c r="AQ169" s="124">
        <f>IFERROR(INDEX(AUXILIAR!$AG$3:$AG$28,MATCH(G169,AUXILIAR!$AH$3:$AH$28,1))*AM169,0)</f>
        <v>0</v>
      </c>
      <c r="AR169" s="99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37"/>
        <v/>
      </c>
      <c r="AT169" s="89" t="str">
        <f t="shared" si="138"/>
        <v/>
      </c>
      <c r="AU169" s="89" t="str">
        <f t="shared" si="139"/>
        <v/>
      </c>
      <c r="AV169" s="89" t="str">
        <f t="shared" si="140"/>
        <v/>
      </c>
      <c r="AW169" s="89" t="str">
        <f t="shared" si="141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42"/>
        <v>0</v>
      </c>
      <c r="AZ169" s="89">
        <f t="shared" si="143"/>
        <v>0</v>
      </c>
      <c r="BA169" s="116">
        <f t="shared" si="144"/>
        <v>0</v>
      </c>
      <c r="BB169" s="116">
        <f t="shared" si="145"/>
        <v>0</v>
      </c>
      <c r="BC169" s="116">
        <f t="shared" si="146"/>
        <v>0</v>
      </c>
      <c r="BD169" s="116">
        <f t="shared" si="154"/>
        <v>0</v>
      </c>
      <c r="BE169" s="89">
        <f t="shared" si="150"/>
        <v>0</v>
      </c>
      <c r="BF169" s="90">
        <f t="shared" si="151"/>
        <v>0.01</v>
      </c>
      <c r="BG169" s="90">
        <f t="shared" si="152"/>
        <v>3.3333333333333333E-2</v>
      </c>
      <c r="BH169" s="116">
        <f t="shared" si="153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3">
        <v>1200</v>
      </c>
      <c r="L170" s="121" t="str">
        <f t="shared" si="147"/>
        <v>0</v>
      </c>
      <c r="M170" s="122">
        <f t="shared" si="148"/>
        <v>0</v>
      </c>
      <c r="N170" s="90">
        <f t="shared" si="121"/>
        <v>0</v>
      </c>
      <c r="O170" s="123">
        <f>IF(L170="",0,IFERROR(IF($M$2="ESTUDO",BH170,N170)+INDEX(AUXILIAR!$AO$3:$AO$8,MATCH(L170,{0;2;5;10;20;50},1))*1440,IF(M170="ESTUDO",BH170,N170)))</f>
        <v>0</v>
      </c>
      <c r="P170" s="94">
        <f t="shared" si="122"/>
        <v>0</v>
      </c>
      <c r="Q170" s="94">
        <f t="shared" si="123"/>
        <v>0</v>
      </c>
      <c r="R170" s="91" t="s">
        <v>0</v>
      </c>
      <c r="S170" s="88">
        <f t="shared" si="124"/>
        <v>0</v>
      </c>
      <c r="T170" s="94">
        <f>((AM170/(1+AUXILIAR!$BJ$4))-((AM170/(1+AUXILIAR!$BJ$4))*AUXILIAR!$BK$4))-(((AM170/(1+AUXILIAR!$BJ$4))-((AM170/(1+AUXILIAR!$BJ$4))*AUXILIAR!$BK$4))*((AUXILIAR!$BL$4+AUXILIAR!$BM$4)))</f>
        <v>0</v>
      </c>
      <c r="U170" s="94">
        <f>((S170/(1+AUXILIAR!$BJ$7))-((S170/(1+AUXILIAR!$BJ$7))*AUXILIAR!$BK$7))-(((S170/(1+AUXILIAR!$BJ$7))-((S170/(1+AUXILIAR!$BJ$7))*AUXILIAR!$BK$7))*((AUXILIAR!$BL$7+AUXILIAR!$BM$7)))</f>
        <v>0</v>
      </c>
      <c r="V170" s="96">
        <f>AM170-(AM170/(1+AUXILIAR!$BJ$4))</f>
        <v>0</v>
      </c>
      <c r="W170" s="96">
        <f>(AM170-V170)*AUXILIAR!$BK$4</f>
        <v>0</v>
      </c>
      <c r="X170" s="96">
        <f>(AM170-V170-W170)*(AUXILIAR!$BL$4+AUXILIAR!$BM$4)</f>
        <v>0</v>
      </c>
      <c r="Y170" s="96">
        <f>X170-(X170/(1+AUXILIAR!$BJ$7))</f>
        <v>0</v>
      </c>
      <c r="Z170" s="96">
        <f>(S170-Y170)*AUXILIAR!$BK$7</f>
        <v>0</v>
      </c>
      <c r="AA170" s="96">
        <f>(S170-Y170-Z170)*(AUXILIAR!$BL$7+AUXILIAR!$BM$7)</f>
        <v>0</v>
      </c>
      <c r="AB170" s="97">
        <f t="shared" si="125"/>
        <v>0</v>
      </c>
      <c r="AC170" s="97">
        <f t="shared" si="126"/>
        <v>0</v>
      </c>
      <c r="AD170" s="97">
        <f t="shared" si="127"/>
        <v>0</v>
      </c>
      <c r="AE170" s="97">
        <f t="shared" si="128"/>
        <v>0</v>
      </c>
      <c r="AF170" s="97">
        <f t="shared" si="129"/>
        <v>0</v>
      </c>
      <c r="AG170" s="96">
        <f t="shared" si="130"/>
        <v>-1</v>
      </c>
      <c r="AH170" s="94">
        <f t="shared" si="131"/>
        <v>0</v>
      </c>
      <c r="AI170" s="98">
        <f t="shared" si="132"/>
        <v>0</v>
      </c>
      <c r="AJ170" s="94">
        <f t="shared" si="133"/>
        <v>0</v>
      </c>
      <c r="AK170" s="94">
        <f t="shared" si="134"/>
        <v>0</v>
      </c>
      <c r="AL170" s="94">
        <f>AUXILIAR!$BM$12</f>
        <v>1</v>
      </c>
      <c r="AM170" s="94">
        <f>IF($E$2="XADREZ",
     IFERROR(VLOOKUP(G170,AUXILIAR!AB:AC,2,TRUE),0),
     IF(AC167="SIM", 0, IFERROR(VLOOKUP(G170,AUXILIAR!AB:AC,2,TRUE),0))
)</f>
        <v>0</v>
      </c>
      <c r="AN170" s="124">
        <f t="shared" si="149"/>
        <v>0</v>
      </c>
      <c r="AO170" s="94">
        <f t="shared" si="135"/>
        <v>0</v>
      </c>
      <c r="AP170" s="94">
        <f t="shared" si="136"/>
        <v>0</v>
      </c>
      <c r="AQ170" s="124">
        <f>IFERROR(INDEX(AUXILIAR!$AG$3:$AG$28,MATCH(G170,AUXILIAR!$AH$3:$AH$28,1))*AM170,0)</f>
        <v>0</v>
      </c>
      <c r="AR170" s="99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37"/>
        <v/>
      </c>
      <c r="AT170" s="89" t="str">
        <f t="shared" si="138"/>
        <v/>
      </c>
      <c r="AU170" s="89" t="str">
        <f t="shared" si="139"/>
        <v/>
      </c>
      <c r="AV170" s="89" t="str">
        <f t="shared" si="140"/>
        <v/>
      </c>
      <c r="AW170" s="89" t="str">
        <f t="shared" si="141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42"/>
        <v>0</v>
      </c>
      <c r="AZ170" s="89">
        <f t="shared" si="143"/>
        <v>0</v>
      </c>
      <c r="BA170" s="116">
        <f t="shared" si="144"/>
        <v>0</v>
      </c>
      <c r="BB170" s="116">
        <f t="shared" si="145"/>
        <v>0</v>
      </c>
      <c r="BC170" s="116">
        <f t="shared" si="146"/>
        <v>0</v>
      </c>
      <c r="BD170" s="116">
        <f t="shared" si="154"/>
        <v>0</v>
      </c>
      <c r="BE170" s="89">
        <f t="shared" si="150"/>
        <v>0</v>
      </c>
      <c r="BF170" s="90">
        <f t="shared" si="151"/>
        <v>0.01</v>
      </c>
      <c r="BG170" s="90">
        <f t="shared" si="152"/>
        <v>3.3333333333333333E-2</v>
      </c>
      <c r="BH170" s="116">
        <f t="shared" si="153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3">
        <v>1200</v>
      </c>
      <c r="L171" s="121" t="str">
        <f t="shared" si="147"/>
        <v>0</v>
      </c>
      <c r="M171" s="122">
        <f t="shared" si="148"/>
        <v>0</v>
      </c>
      <c r="N171" s="90">
        <f t="shared" si="121"/>
        <v>0</v>
      </c>
      <c r="O171" s="123">
        <f>IF(L171="",0,IFERROR(IF($M$2="ESTUDO",BH171,N171)+INDEX(AUXILIAR!$AO$3:$AO$8,MATCH(L171,{0;2;5;10;20;50},1))*1440,IF(M171="ESTUDO",BH171,N171)))</f>
        <v>0</v>
      </c>
      <c r="P171" s="94">
        <f t="shared" si="122"/>
        <v>0</v>
      </c>
      <c r="Q171" s="94">
        <f t="shared" si="123"/>
        <v>0</v>
      </c>
      <c r="R171" s="91" t="s">
        <v>0</v>
      </c>
      <c r="S171" s="88">
        <f t="shared" si="124"/>
        <v>0</v>
      </c>
      <c r="T171" s="94">
        <f>((AM171/(1+AUXILIAR!$BJ$4))-((AM171/(1+AUXILIAR!$BJ$4))*AUXILIAR!$BK$4))-(((AM171/(1+AUXILIAR!$BJ$4))-((AM171/(1+AUXILIAR!$BJ$4))*AUXILIAR!$BK$4))*((AUXILIAR!$BL$4+AUXILIAR!$BM$4)))</f>
        <v>0</v>
      </c>
      <c r="U171" s="94">
        <f>((S171/(1+AUXILIAR!$BJ$7))-((S171/(1+AUXILIAR!$BJ$7))*AUXILIAR!$BK$7))-(((S171/(1+AUXILIAR!$BJ$7))-((S171/(1+AUXILIAR!$BJ$7))*AUXILIAR!$BK$7))*((AUXILIAR!$BL$7+AUXILIAR!$BM$7)))</f>
        <v>0</v>
      </c>
      <c r="V171" s="96">
        <f>AM171-(AM171/(1+AUXILIAR!$BJ$4))</f>
        <v>0</v>
      </c>
      <c r="W171" s="96">
        <f>(AM171-V171)*AUXILIAR!$BK$4</f>
        <v>0</v>
      </c>
      <c r="X171" s="96">
        <f>(AM171-V171-W171)*(AUXILIAR!$BL$4+AUXILIAR!$BM$4)</f>
        <v>0</v>
      </c>
      <c r="Y171" s="96">
        <f>X171-(X171/(1+AUXILIAR!$BJ$7))</f>
        <v>0</v>
      </c>
      <c r="Z171" s="96">
        <f>(S171-Y171)*AUXILIAR!$BK$7</f>
        <v>0</v>
      </c>
      <c r="AA171" s="96">
        <f>(S171-Y171-Z171)*(AUXILIAR!$BL$7+AUXILIAR!$BM$7)</f>
        <v>0</v>
      </c>
      <c r="AB171" s="97">
        <f t="shared" si="125"/>
        <v>0</v>
      </c>
      <c r="AC171" s="97">
        <f t="shared" si="126"/>
        <v>0</v>
      </c>
      <c r="AD171" s="97">
        <f t="shared" si="127"/>
        <v>0</v>
      </c>
      <c r="AE171" s="97">
        <f t="shared" si="128"/>
        <v>0</v>
      </c>
      <c r="AF171" s="97">
        <f t="shared" si="129"/>
        <v>0</v>
      </c>
      <c r="AG171" s="96">
        <f t="shared" si="130"/>
        <v>-1</v>
      </c>
      <c r="AH171" s="94">
        <f t="shared" si="131"/>
        <v>0</v>
      </c>
      <c r="AI171" s="98">
        <f t="shared" si="132"/>
        <v>0</v>
      </c>
      <c r="AJ171" s="94">
        <f t="shared" si="133"/>
        <v>0</v>
      </c>
      <c r="AK171" s="94">
        <f t="shared" si="134"/>
        <v>0</v>
      </c>
      <c r="AL171" s="94">
        <f>AUXILIAR!$BM$12</f>
        <v>1</v>
      </c>
      <c r="AM171" s="94">
        <f>IF($E$2="XADREZ",
     IFERROR(VLOOKUP(G171,AUXILIAR!AB:AC,2,TRUE),0),
     IF(AC168="SIM", 0, IFERROR(VLOOKUP(G171,AUXILIAR!AB:AC,2,TRUE),0))
)</f>
        <v>0</v>
      </c>
      <c r="AN171" s="124">
        <f t="shared" si="149"/>
        <v>0</v>
      </c>
      <c r="AO171" s="94">
        <f t="shared" si="135"/>
        <v>0</v>
      </c>
      <c r="AP171" s="94">
        <f t="shared" si="136"/>
        <v>0</v>
      </c>
      <c r="AQ171" s="124">
        <f>IFERROR(INDEX(AUXILIAR!$AG$3:$AG$28,MATCH(G171,AUXILIAR!$AH$3:$AH$28,1))*AM171,0)</f>
        <v>0</v>
      </c>
      <c r="AR171" s="99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37"/>
        <v/>
      </c>
      <c r="AT171" s="89" t="str">
        <f t="shared" si="138"/>
        <v/>
      </c>
      <c r="AU171" s="89" t="str">
        <f t="shared" si="139"/>
        <v/>
      </c>
      <c r="AV171" s="89" t="str">
        <f t="shared" si="140"/>
        <v/>
      </c>
      <c r="AW171" s="89" t="str">
        <f t="shared" si="141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42"/>
        <v>0</v>
      </c>
      <c r="AZ171" s="89">
        <f t="shared" si="143"/>
        <v>0</v>
      </c>
      <c r="BA171" s="116">
        <f t="shared" si="144"/>
        <v>0</v>
      </c>
      <c r="BB171" s="116">
        <f t="shared" si="145"/>
        <v>0</v>
      </c>
      <c r="BC171" s="116">
        <f t="shared" si="146"/>
        <v>0</v>
      </c>
      <c r="BD171" s="116">
        <f t="shared" si="154"/>
        <v>0</v>
      </c>
      <c r="BE171" s="89">
        <f t="shared" si="150"/>
        <v>0</v>
      </c>
      <c r="BF171" s="90">
        <f t="shared" si="151"/>
        <v>0.01</v>
      </c>
      <c r="BG171" s="90">
        <f t="shared" si="152"/>
        <v>3.3333333333333333E-2</v>
      </c>
      <c r="BH171" s="116">
        <f t="shared" si="153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3">
        <v>1200</v>
      </c>
      <c r="L172" s="121" t="str">
        <f t="shared" si="147"/>
        <v>0</v>
      </c>
      <c r="M172" s="122">
        <f t="shared" si="148"/>
        <v>0</v>
      </c>
      <c r="N172" s="90">
        <f t="shared" si="121"/>
        <v>0</v>
      </c>
      <c r="O172" s="123">
        <f>IF(L172="",0,IFERROR(IF($M$2="ESTUDO",BH172,N172)+INDEX(AUXILIAR!$AO$3:$AO$8,MATCH(L172,{0;2;5;10;20;50},1))*1440,IF(M172="ESTUDO",BH172,N172)))</f>
        <v>0</v>
      </c>
      <c r="P172" s="94">
        <f t="shared" si="122"/>
        <v>0</v>
      </c>
      <c r="Q172" s="94">
        <f t="shared" si="123"/>
        <v>0</v>
      </c>
      <c r="R172" s="91" t="s">
        <v>0</v>
      </c>
      <c r="S172" s="88">
        <f t="shared" si="124"/>
        <v>0</v>
      </c>
      <c r="T172" s="94">
        <f>((AM172/(1+AUXILIAR!$BJ$4))-((AM172/(1+AUXILIAR!$BJ$4))*AUXILIAR!$BK$4))-(((AM172/(1+AUXILIAR!$BJ$4))-((AM172/(1+AUXILIAR!$BJ$4))*AUXILIAR!$BK$4))*((AUXILIAR!$BL$4+AUXILIAR!$BM$4)))</f>
        <v>0</v>
      </c>
      <c r="U172" s="94">
        <f>((S172/(1+AUXILIAR!$BJ$7))-((S172/(1+AUXILIAR!$BJ$7))*AUXILIAR!$BK$7))-(((S172/(1+AUXILIAR!$BJ$7))-((S172/(1+AUXILIAR!$BJ$7))*AUXILIAR!$BK$7))*((AUXILIAR!$BL$7+AUXILIAR!$BM$7)))</f>
        <v>0</v>
      </c>
      <c r="V172" s="96">
        <f>AM172-(AM172/(1+AUXILIAR!$BJ$4))</f>
        <v>0</v>
      </c>
      <c r="W172" s="96">
        <f>(AM172-V172)*AUXILIAR!$BK$4</f>
        <v>0</v>
      </c>
      <c r="X172" s="96">
        <f>(AM172-V172-W172)*(AUXILIAR!$BL$4+AUXILIAR!$BM$4)</f>
        <v>0</v>
      </c>
      <c r="Y172" s="96">
        <f>X172-(X172/(1+AUXILIAR!$BJ$7))</f>
        <v>0</v>
      </c>
      <c r="Z172" s="96">
        <f>(S172-Y172)*AUXILIAR!$BK$7</f>
        <v>0</v>
      </c>
      <c r="AA172" s="96">
        <f>(S172-Y172-Z172)*(AUXILIAR!$BL$7+AUXILIAR!$BM$7)</f>
        <v>0</v>
      </c>
      <c r="AB172" s="97">
        <f t="shared" si="125"/>
        <v>0</v>
      </c>
      <c r="AC172" s="97">
        <f t="shared" si="126"/>
        <v>0</v>
      </c>
      <c r="AD172" s="97">
        <f t="shared" si="127"/>
        <v>0</v>
      </c>
      <c r="AE172" s="97">
        <f t="shared" si="128"/>
        <v>0</v>
      </c>
      <c r="AF172" s="97">
        <f t="shared" si="129"/>
        <v>0</v>
      </c>
      <c r="AG172" s="96">
        <f t="shared" si="130"/>
        <v>-1</v>
      </c>
      <c r="AH172" s="94">
        <f t="shared" si="131"/>
        <v>0</v>
      </c>
      <c r="AI172" s="98">
        <f t="shared" si="132"/>
        <v>0</v>
      </c>
      <c r="AJ172" s="94">
        <f t="shared" si="133"/>
        <v>0</v>
      </c>
      <c r="AK172" s="94">
        <f t="shared" si="134"/>
        <v>0</v>
      </c>
      <c r="AL172" s="94">
        <f>AUXILIAR!$BM$12</f>
        <v>1</v>
      </c>
      <c r="AM172" s="94">
        <f>IF($E$2="XADREZ",
     IFERROR(VLOOKUP(G172,AUXILIAR!AB:AC,2,TRUE),0),
     IF(AC169="SIM", 0, IFERROR(VLOOKUP(G172,AUXILIAR!AB:AC,2,TRUE),0))
)</f>
        <v>0</v>
      </c>
      <c r="AN172" s="124">
        <f t="shared" si="149"/>
        <v>0</v>
      </c>
      <c r="AO172" s="94">
        <f t="shared" si="135"/>
        <v>0</v>
      </c>
      <c r="AP172" s="94">
        <f t="shared" si="136"/>
        <v>0</v>
      </c>
      <c r="AQ172" s="124">
        <f>IFERROR(INDEX(AUXILIAR!$AG$3:$AG$28,MATCH(G172,AUXILIAR!$AH$3:$AH$28,1))*AM172,0)</f>
        <v>0</v>
      </c>
      <c r="AR172" s="99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37"/>
        <v/>
      </c>
      <c r="AT172" s="89" t="str">
        <f t="shared" si="138"/>
        <v/>
      </c>
      <c r="AU172" s="89" t="str">
        <f t="shared" si="139"/>
        <v/>
      </c>
      <c r="AV172" s="89" t="str">
        <f t="shared" si="140"/>
        <v/>
      </c>
      <c r="AW172" s="89" t="str">
        <f t="shared" si="141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42"/>
        <v>0</v>
      </c>
      <c r="AZ172" s="89">
        <f t="shared" si="143"/>
        <v>0</v>
      </c>
      <c r="BA172" s="116">
        <f t="shared" si="144"/>
        <v>0</v>
      </c>
      <c r="BB172" s="116">
        <f t="shared" si="145"/>
        <v>0</v>
      </c>
      <c r="BC172" s="116">
        <f t="shared" si="146"/>
        <v>0</v>
      </c>
      <c r="BD172" s="116">
        <f t="shared" si="154"/>
        <v>0</v>
      </c>
      <c r="BE172" s="89">
        <f t="shared" si="150"/>
        <v>0</v>
      </c>
      <c r="BF172" s="90">
        <f t="shared" si="151"/>
        <v>0.01</v>
      </c>
      <c r="BG172" s="90">
        <f t="shared" si="152"/>
        <v>3.3333333333333333E-2</v>
      </c>
      <c r="BH172" s="116">
        <f t="shared" si="153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3">
        <v>1200</v>
      </c>
      <c r="L173" s="121" t="str">
        <f t="shared" si="147"/>
        <v>0</v>
      </c>
      <c r="M173" s="122">
        <f t="shared" si="148"/>
        <v>0</v>
      </c>
      <c r="N173" s="90">
        <f t="shared" si="121"/>
        <v>0</v>
      </c>
      <c r="O173" s="123">
        <f>IF(L173="",0,IFERROR(IF($M$2="ESTUDO",BH173,N173)+INDEX(AUXILIAR!$AO$3:$AO$8,MATCH(L173,{0;2;5;10;20;50},1))*1440,IF(M173="ESTUDO",BH173,N173)))</f>
        <v>0</v>
      </c>
      <c r="P173" s="94">
        <f t="shared" si="122"/>
        <v>0</v>
      </c>
      <c r="Q173" s="94">
        <f t="shared" si="123"/>
        <v>0</v>
      </c>
      <c r="R173" s="91" t="s">
        <v>0</v>
      </c>
      <c r="S173" s="88">
        <f t="shared" si="124"/>
        <v>0</v>
      </c>
      <c r="T173" s="94">
        <f>((AM173/(1+AUXILIAR!$BJ$4))-((AM173/(1+AUXILIAR!$BJ$4))*AUXILIAR!$BK$4))-(((AM173/(1+AUXILIAR!$BJ$4))-((AM173/(1+AUXILIAR!$BJ$4))*AUXILIAR!$BK$4))*((AUXILIAR!$BL$4+AUXILIAR!$BM$4)))</f>
        <v>0</v>
      </c>
      <c r="U173" s="94">
        <f>((S173/(1+AUXILIAR!$BJ$7))-((S173/(1+AUXILIAR!$BJ$7))*AUXILIAR!$BK$7))-(((S173/(1+AUXILIAR!$BJ$7))-((S173/(1+AUXILIAR!$BJ$7))*AUXILIAR!$BK$7))*((AUXILIAR!$BL$7+AUXILIAR!$BM$7)))</f>
        <v>0</v>
      </c>
      <c r="V173" s="96">
        <f>AM173-(AM173/(1+AUXILIAR!$BJ$4))</f>
        <v>0</v>
      </c>
      <c r="W173" s="96">
        <f>(AM173-V173)*AUXILIAR!$BK$4</f>
        <v>0</v>
      </c>
      <c r="X173" s="96">
        <f>(AM173-V173-W173)*(AUXILIAR!$BL$4+AUXILIAR!$BM$4)</f>
        <v>0</v>
      </c>
      <c r="Y173" s="96">
        <f>X173-(X173/(1+AUXILIAR!$BJ$7))</f>
        <v>0</v>
      </c>
      <c r="Z173" s="96">
        <f>(S173-Y173)*AUXILIAR!$BK$7</f>
        <v>0</v>
      </c>
      <c r="AA173" s="96">
        <f>(S173-Y173-Z173)*(AUXILIAR!$BL$7+AUXILIAR!$BM$7)</f>
        <v>0</v>
      </c>
      <c r="AB173" s="97">
        <f t="shared" si="125"/>
        <v>0</v>
      </c>
      <c r="AC173" s="97">
        <f t="shared" si="126"/>
        <v>0</v>
      </c>
      <c r="AD173" s="97">
        <f t="shared" si="127"/>
        <v>0</v>
      </c>
      <c r="AE173" s="97">
        <f t="shared" si="128"/>
        <v>0</v>
      </c>
      <c r="AF173" s="97">
        <f t="shared" si="129"/>
        <v>0</v>
      </c>
      <c r="AG173" s="96">
        <f t="shared" si="130"/>
        <v>-1</v>
      </c>
      <c r="AH173" s="94">
        <f t="shared" si="131"/>
        <v>0</v>
      </c>
      <c r="AI173" s="98">
        <f t="shared" si="132"/>
        <v>0</v>
      </c>
      <c r="AJ173" s="94">
        <f t="shared" si="133"/>
        <v>0</v>
      </c>
      <c r="AK173" s="94">
        <f t="shared" si="134"/>
        <v>0</v>
      </c>
      <c r="AL173" s="94">
        <f>AUXILIAR!$BM$12</f>
        <v>1</v>
      </c>
      <c r="AM173" s="94">
        <f>IF($E$2="XADREZ",
     IFERROR(VLOOKUP(G173,AUXILIAR!AB:AC,2,TRUE),0),
     IF(AC170="SIM", 0, IFERROR(VLOOKUP(G173,AUXILIAR!AB:AC,2,TRUE),0))
)</f>
        <v>0</v>
      </c>
      <c r="AN173" s="124">
        <f t="shared" si="149"/>
        <v>0</v>
      </c>
      <c r="AO173" s="94">
        <f t="shared" si="135"/>
        <v>0</v>
      </c>
      <c r="AP173" s="94">
        <f t="shared" si="136"/>
        <v>0</v>
      </c>
      <c r="AQ173" s="124">
        <f>IFERROR(INDEX(AUXILIAR!$AG$3:$AG$28,MATCH(G173,AUXILIAR!$AH$3:$AH$28,1))*AM173,0)</f>
        <v>0</v>
      </c>
      <c r="AR173" s="99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37"/>
        <v/>
      </c>
      <c r="AT173" s="89" t="str">
        <f t="shared" si="138"/>
        <v/>
      </c>
      <c r="AU173" s="89" t="str">
        <f t="shared" si="139"/>
        <v/>
      </c>
      <c r="AV173" s="89" t="str">
        <f t="shared" si="140"/>
        <v/>
      </c>
      <c r="AW173" s="89" t="str">
        <f t="shared" si="141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42"/>
        <v>0</v>
      </c>
      <c r="AZ173" s="89">
        <f t="shared" si="143"/>
        <v>0</v>
      </c>
      <c r="BA173" s="116">
        <f t="shared" si="144"/>
        <v>0</v>
      </c>
      <c r="BB173" s="116">
        <f t="shared" si="145"/>
        <v>0</v>
      </c>
      <c r="BC173" s="116">
        <f t="shared" si="146"/>
        <v>0</v>
      </c>
      <c r="BD173" s="116">
        <f t="shared" si="154"/>
        <v>0</v>
      </c>
      <c r="BE173" s="89">
        <f t="shared" si="150"/>
        <v>0</v>
      </c>
      <c r="BF173" s="90">
        <f t="shared" si="151"/>
        <v>0.01</v>
      </c>
      <c r="BG173" s="90">
        <f t="shared" si="152"/>
        <v>3.3333333333333333E-2</v>
      </c>
      <c r="BH173" s="116">
        <f t="shared" si="153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3">
        <v>1200</v>
      </c>
      <c r="L174" s="121" t="str">
        <f t="shared" si="147"/>
        <v>0</v>
      </c>
      <c r="M174" s="122">
        <f t="shared" si="148"/>
        <v>0</v>
      </c>
      <c r="N174" s="90">
        <f t="shared" ref="N174:N200" si="155">IFERROR((AU174/AX174)+BC174,0)</f>
        <v>0</v>
      </c>
      <c r="O174" s="123">
        <f>IF(L174="",0,IFERROR(IF($M$2="ESTUDO",BH174,N174)+INDEX(AUXILIAR!$AO$3:$AO$8,MATCH(L174,{0;2;5;10;20;50},1))*1440,IF(M174="ESTUDO",BH174,N174)))</f>
        <v>0</v>
      </c>
      <c r="P174" s="94">
        <f t="shared" ref="P174:P200" si="156">IFERROR(Q174/C174,0)</f>
        <v>0</v>
      </c>
      <c r="Q174" s="94">
        <f t="shared" ref="Q174:Q200" si="157">IFERROR($D$2 * ROUND(M174, 2), 0)</f>
        <v>0</v>
      </c>
      <c r="R174" s="91" t="s">
        <v>0</v>
      </c>
      <c r="S174" s="88">
        <f t="shared" ref="S174:S200" si="158">IF(A174="",0,$D$2)</f>
        <v>0</v>
      </c>
      <c r="T174" s="94">
        <f>((AM174/(1+AUXILIAR!$BJ$4))-((AM174/(1+AUXILIAR!$BJ$4))*AUXILIAR!$BK$4))-(((AM174/(1+AUXILIAR!$BJ$4))-((AM174/(1+AUXILIAR!$BJ$4))*AUXILIAR!$BK$4))*((AUXILIAR!$BL$4+AUXILIAR!$BM$4)))</f>
        <v>0</v>
      </c>
      <c r="U174" s="94">
        <f>((S174/(1+AUXILIAR!$BJ$7))-((S174/(1+AUXILIAR!$BJ$7))*AUXILIAR!$BK$7))-(((S174/(1+AUXILIAR!$BJ$7))-((S174/(1+AUXILIAR!$BJ$7))*AUXILIAR!$BK$7))*((AUXILIAR!$BL$7+AUXILIAR!$BM$7)))</f>
        <v>0</v>
      </c>
      <c r="V174" s="96">
        <f>AM174-(AM174/(1+AUXILIAR!$BJ$4))</f>
        <v>0</v>
      </c>
      <c r="W174" s="96">
        <f>(AM174-V174)*AUXILIAR!$BK$4</f>
        <v>0</v>
      </c>
      <c r="X174" s="96">
        <f>(AM174-V174-W174)*(AUXILIAR!$BL$4+AUXILIAR!$BM$4)</f>
        <v>0</v>
      </c>
      <c r="Y174" s="96">
        <f>X174-(X174/(1+AUXILIAR!$BJ$7))</f>
        <v>0</v>
      </c>
      <c r="Z174" s="96">
        <f>(S174-Y174)*AUXILIAR!$BK$7</f>
        <v>0</v>
      </c>
      <c r="AA174" s="96">
        <f>(S174-Y174-Z174)*(AUXILIAR!$BL$7+AUXILIAR!$BM$7)</f>
        <v>0</v>
      </c>
      <c r="AB174" s="97">
        <f t="shared" ref="AB174:AB200" si="159">V174-Y174</f>
        <v>0</v>
      </c>
      <c r="AC174" s="97">
        <f t="shared" ref="AC174:AC200" si="160">W174-Z174</f>
        <v>0</v>
      </c>
      <c r="AD174" s="97">
        <f t="shared" ref="AD174:AD200" si="161">X174-AA174</f>
        <v>0</v>
      </c>
      <c r="AE174" s="97">
        <f t="shared" ref="AE174:AE200" si="162">AB174+AC174+AD174</f>
        <v>0</v>
      </c>
      <c r="AF174" s="97">
        <f t="shared" ref="AF174:AF200" si="163">IFERROR(S174*M174,0)</f>
        <v>0</v>
      </c>
      <c r="AG174" s="96">
        <f t="shared" ref="AG174:AG200" si="164">IFERROR((S174-AM174+AE174-AO174-AP174-AQ174-AL174),0)</f>
        <v>-1</v>
      </c>
      <c r="AH174" s="94">
        <f t="shared" ref="AH174:AH200" si="165">IFERROR(AG174*M174,0)</f>
        <v>0</v>
      </c>
      <c r="AI174" s="98">
        <f t="shared" ref="AI174:AI200" si="166">IFERROR(AG174/S174,0)</f>
        <v>0</v>
      </c>
      <c r="AJ174" s="94">
        <f t="shared" ref="AJ174:AJ200" si="167">IF(G174="",0,(AM174+AL174+AQ174+AP174+AO174+AN174))</f>
        <v>0</v>
      </c>
      <c r="AK174" s="94">
        <f t="shared" ref="AK174:AK200" si="168">IFERROR(AJ174*M174,0)</f>
        <v>0</v>
      </c>
      <c r="AL174" s="94">
        <f>AUXILIAR!$BM$12</f>
        <v>1</v>
      </c>
      <c r="AM174" s="94">
        <f>IF($E$2="XADREZ",
     IFERROR(VLOOKUP(G174,AUXILIAR!AB:AC,2,TRUE),0),
     IF(AC171="SIM", 0, IFERROR(VLOOKUP(G174,AUXILIAR!AB:AC,2,TRUE),0))
)</f>
        <v>0</v>
      </c>
      <c r="AN174" s="124">
        <f t="shared" si="149"/>
        <v>0</v>
      </c>
      <c r="AO174" s="94">
        <f t="shared" ref="AO174:AO200" si="169">IFERROR(S174*$B$2,0)</f>
        <v>0</v>
      </c>
      <c r="AP174" s="94">
        <f t="shared" ref="AP174:AP200" si="170">IF(G174="",0,$C$2)</f>
        <v>0</v>
      </c>
      <c r="AQ174" s="124">
        <f>IFERROR(INDEX(AUXILIAR!$AG$3:$AG$28,MATCH(G174,AUXILIAR!$AH$3:$AH$28,1))*AM174,0)</f>
        <v>0</v>
      </c>
      <c r="AR174" s="99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71">IF(OR(D174="Q",D174="R"),(H174*I174),IF(D174="T",(H174*I174)/2,IF(D174="TP",((H174+I174)*J174)/2,IF(D174="C",PI()*((H174/2)^2),""))))</f>
        <v/>
      </c>
      <c r="AT174" s="89" t="str">
        <f t="shared" ref="AT174:AT200" si="172">IFERROR(AS174*C174,"")</f>
        <v/>
      </c>
      <c r="AU174" s="89" t="str">
        <f t="shared" ref="AU174:AU200" si="173">IFERROR(AV174*C174,"")</f>
        <v/>
      </c>
      <c r="AV174" s="89" t="str">
        <f t="shared" ref="AV174:AV200" si="174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75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76">IF(OR(E174=0,F174=0),0,PI()*F174*E174)</f>
        <v>0</v>
      </c>
      <c r="AZ174" s="89">
        <f t="shared" ref="AZ174:AZ200" si="177">IFERROR(
IF(OR(E174=0,F174=0),0,
   IF($R174="LASER",
      IF($F174&lt;=$G174*1.5,$AX174*0.7,$AX174),
   IF($R174="PLASMA",
      IF($F174&lt;=$G174*2,$AX174*0.5,$AX174),
   0))),
0)</f>
        <v>0</v>
      </c>
      <c r="BA174" s="116">
        <f t="shared" ref="BA174:BA200" si="178">IFERROR(IF($AY174=0,0,$AY174/$AZ174),0)</f>
        <v>0</v>
      </c>
      <c r="BB174" s="116">
        <f t="shared" ref="BB174:BB200" si="179">IF(OR(E174=0,F174=0),0,
 IF(F174&lt;=4.75,5/60,
 IF(F174&lt;=9.5,7/60,
 10/60)))</f>
        <v>0</v>
      </c>
      <c r="BC174" s="116">
        <f t="shared" ref="BC174:BC200" si="180">IF(OR(E174=0,F174=0),0,$BA174+($BB174*$E174))</f>
        <v>0</v>
      </c>
      <c r="BD174" s="116">
        <f t="shared" si="154"/>
        <v>0</v>
      </c>
      <c r="BE174" s="89">
        <f t="shared" si="150"/>
        <v>0</v>
      </c>
      <c r="BF174" s="90">
        <f t="shared" si="151"/>
        <v>0.01</v>
      </c>
      <c r="BG174" s="90">
        <f t="shared" si="152"/>
        <v>3.3333333333333333E-2</v>
      </c>
      <c r="BH174" s="116">
        <f t="shared" si="153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3">
        <v>1200</v>
      </c>
      <c r="L175" s="121" t="str">
        <f t="shared" si="147"/>
        <v>0</v>
      </c>
      <c r="M175" s="122">
        <f t="shared" si="148"/>
        <v>0</v>
      </c>
      <c r="N175" s="90">
        <f t="shared" si="155"/>
        <v>0</v>
      </c>
      <c r="O175" s="123">
        <f>IF(L175="",0,IFERROR(IF($M$2="ESTUDO",BH175,N175)+INDEX(AUXILIAR!$AO$3:$AO$8,MATCH(L175,{0;2;5;10;20;50},1))*1440,IF(M175="ESTUDO",BH175,N175)))</f>
        <v>0</v>
      </c>
      <c r="P175" s="94">
        <f t="shared" si="156"/>
        <v>0</v>
      </c>
      <c r="Q175" s="94">
        <f t="shared" si="157"/>
        <v>0</v>
      </c>
      <c r="R175" s="91" t="s">
        <v>0</v>
      </c>
      <c r="S175" s="88">
        <f t="shared" si="158"/>
        <v>0</v>
      </c>
      <c r="T175" s="94">
        <f>((AM175/(1+AUXILIAR!$BJ$4))-((AM175/(1+AUXILIAR!$BJ$4))*AUXILIAR!$BK$4))-(((AM175/(1+AUXILIAR!$BJ$4))-((AM175/(1+AUXILIAR!$BJ$4))*AUXILIAR!$BK$4))*((AUXILIAR!$BL$4+AUXILIAR!$BM$4)))</f>
        <v>0</v>
      </c>
      <c r="U175" s="94">
        <f>((S175/(1+AUXILIAR!$BJ$7))-((S175/(1+AUXILIAR!$BJ$7))*AUXILIAR!$BK$7))-(((S175/(1+AUXILIAR!$BJ$7))-((S175/(1+AUXILIAR!$BJ$7))*AUXILIAR!$BK$7))*((AUXILIAR!$BL$7+AUXILIAR!$BM$7)))</f>
        <v>0</v>
      </c>
      <c r="V175" s="96">
        <f>AM175-(AM175/(1+AUXILIAR!$BJ$4))</f>
        <v>0</v>
      </c>
      <c r="W175" s="96">
        <f>(AM175-V175)*AUXILIAR!$BK$4</f>
        <v>0</v>
      </c>
      <c r="X175" s="96">
        <f>(AM175-V175-W175)*(AUXILIAR!$BL$4+AUXILIAR!$BM$4)</f>
        <v>0</v>
      </c>
      <c r="Y175" s="96">
        <f>X175-(X175/(1+AUXILIAR!$BJ$7))</f>
        <v>0</v>
      </c>
      <c r="Z175" s="96">
        <f>(S175-Y175)*AUXILIAR!$BK$7</f>
        <v>0</v>
      </c>
      <c r="AA175" s="96">
        <f>(S175-Y175-Z175)*(AUXILIAR!$BL$7+AUXILIAR!$BM$7)</f>
        <v>0</v>
      </c>
      <c r="AB175" s="97">
        <f t="shared" si="159"/>
        <v>0</v>
      </c>
      <c r="AC175" s="97">
        <f t="shared" si="160"/>
        <v>0</v>
      </c>
      <c r="AD175" s="97">
        <f t="shared" si="161"/>
        <v>0</v>
      </c>
      <c r="AE175" s="97">
        <f t="shared" si="162"/>
        <v>0</v>
      </c>
      <c r="AF175" s="97">
        <f t="shared" si="163"/>
        <v>0</v>
      </c>
      <c r="AG175" s="96">
        <f t="shared" si="164"/>
        <v>-1</v>
      </c>
      <c r="AH175" s="94">
        <f t="shared" si="165"/>
        <v>0</v>
      </c>
      <c r="AI175" s="98">
        <f t="shared" si="166"/>
        <v>0</v>
      </c>
      <c r="AJ175" s="94">
        <f t="shared" si="167"/>
        <v>0</v>
      </c>
      <c r="AK175" s="94">
        <f t="shared" si="168"/>
        <v>0</v>
      </c>
      <c r="AL175" s="94">
        <f>AUXILIAR!$BM$12</f>
        <v>1</v>
      </c>
      <c r="AM175" s="94">
        <f>IF($E$2="XADREZ",
     IFERROR(VLOOKUP(G175,AUXILIAR!AB:AC,2,TRUE),0),
     IF(AC172="SIM", 0, IFERROR(VLOOKUP(G175,AUXILIAR!AB:AC,2,TRUE),0))
)</f>
        <v>0</v>
      </c>
      <c r="AN175" s="124">
        <f t="shared" si="149"/>
        <v>0</v>
      </c>
      <c r="AO175" s="94">
        <f t="shared" si="169"/>
        <v>0</v>
      </c>
      <c r="AP175" s="94">
        <f t="shared" si="170"/>
        <v>0</v>
      </c>
      <c r="AQ175" s="124">
        <f>IFERROR(INDEX(AUXILIAR!$AG$3:$AG$28,MATCH(G175,AUXILIAR!$AH$3:$AH$28,1))*AM175,0)</f>
        <v>0</v>
      </c>
      <c r="AR175" s="99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71"/>
        <v/>
      </c>
      <c r="AT175" s="89" t="str">
        <f t="shared" si="172"/>
        <v/>
      </c>
      <c r="AU175" s="89" t="str">
        <f t="shared" si="173"/>
        <v/>
      </c>
      <c r="AV175" s="89" t="str">
        <f t="shared" si="174"/>
        <v/>
      </c>
      <c r="AW175" s="89" t="str">
        <f t="shared" si="175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76"/>
        <v>0</v>
      </c>
      <c r="AZ175" s="89">
        <f t="shared" si="177"/>
        <v>0</v>
      </c>
      <c r="BA175" s="116">
        <f t="shared" si="178"/>
        <v>0</v>
      </c>
      <c r="BB175" s="116">
        <f t="shared" si="179"/>
        <v>0</v>
      </c>
      <c r="BC175" s="116">
        <f t="shared" si="180"/>
        <v>0</v>
      </c>
      <c r="BD175" s="116">
        <f t="shared" si="154"/>
        <v>0</v>
      </c>
      <c r="BE175" s="89">
        <f t="shared" si="150"/>
        <v>0</v>
      </c>
      <c r="BF175" s="90">
        <f t="shared" si="151"/>
        <v>0.01</v>
      </c>
      <c r="BG175" s="90">
        <f t="shared" si="152"/>
        <v>3.3333333333333333E-2</v>
      </c>
      <c r="BH175" s="116">
        <f t="shared" si="153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3">
        <v>1200</v>
      </c>
      <c r="L176" s="121" t="str">
        <f t="shared" si="147"/>
        <v>0</v>
      </c>
      <c r="M176" s="122">
        <f t="shared" si="148"/>
        <v>0</v>
      </c>
      <c r="N176" s="90">
        <f t="shared" si="155"/>
        <v>0</v>
      </c>
      <c r="O176" s="123">
        <f>IF(L176="",0,IFERROR(IF($M$2="ESTUDO",BH176,N176)+INDEX(AUXILIAR!$AO$3:$AO$8,MATCH(L176,{0;2;5;10;20;50},1))*1440,IF(M176="ESTUDO",BH176,N176)))</f>
        <v>0</v>
      </c>
      <c r="P176" s="94">
        <f t="shared" si="156"/>
        <v>0</v>
      </c>
      <c r="Q176" s="94">
        <f t="shared" si="157"/>
        <v>0</v>
      </c>
      <c r="R176" s="91" t="s">
        <v>0</v>
      </c>
      <c r="S176" s="88">
        <f t="shared" si="158"/>
        <v>0</v>
      </c>
      <c r="T176" s="94">
        <f>((AM176/(1+AUXILIAR!$BJ$4))-((AM176/(1+AUXILIAR!$BJ$4))*AUXILIAR!$BK$4))-(((AM176/(1+AUXILIAR!$BJ$4))-((AM176/(1+AUXILIAR!$BJ$4))*AUXILIAR!$BK$4))*((AUXILIAR!$BL$4+AUXILIAR!$BM$4)))</f>
        <v>0</v>
      </c>
      <c r="U176" s="94">
        <f>((S176/(1+AUXILIAR!$BJ$7))-((S176/(1+AUXILIAR!$BJ$7))*AUXILIAR!$BK$7))-(((S176/(1+AUXILIAR!$BJ$7))-((S176/(1+AUXILIAR!$BJ$7))*AUXILIAR!$BK$7))*((AUXILIAR!$BL$7+AUXILIAR!$BM$7)))</f>
        <v>0</v>
      </c>
      <c r="V176" s="96">
        <f>AM176-(AM176/(1+AUXILIAR!$BJ$4))</f>
        <v>0</v>
      </c>
      <c r="W176" s="96">
        <f>(AM176-V176)*AUXILIAR!$BK$4</f>
        <v>0</v>
      </c>
      <c r="X176" s="96">
        <f>(AM176-V176-W176)*(AUXILIAR!$BL$4+AUXILIAR!$BM$4)</f>
        <v>0</v>
      </c>
      <c r="Y176" s="96">
        <f>X176-(X176/(1+AUXILIAR!$BJ$7))</f>
        <v>0</v>
      </c>
      <c r="Z176" s="96">
        <f>(S176-Y176)*AUXILIAR!$BK$7</f>
        <v>0</v>
      </c>
      <c r="AA176" s="96">
        <f>(S176-Y176-Z176)*(AUXILIAR!$BL$7+AUXILIAR!$BM$7)</f>
        <v>0</v>
      </c>
      <c r="AB176" s="97">
        <f t="shared" si="159"/>
        <v>0</v>
      </c>
      <c r="AC176" s="97">
        <f t="shared" si="160"/>
        <v>0</v>
      </c>
      <c r="AD176" s="97">
        <f t="shared" si="161"/>
        <v>0</v>
      </c>
      <c r="AE176" s="97">
        <f t="shared" si="162"/>
        <v>0</v>
      </c>
      <c r="AF176" s="97">
        <f t="shared" si="163"/>
        <v>0</v>
      </c>
      <c r="AG176" s="96">
        <f t="shared" si="164"/>
        <v>-1</v>
      </c>
      <c r="AH176" s="94">
        <f t="shared" si="165"/>
        <v>0</v>
      </c>
      <c r="AI176" s="98">
        <f t="shared" si="166"/>
        <v>0</v>
      </c>
      <c r="AJ176" s="94">
        <f t="shared" si="167"/>
        <v>0</v>
      </c>
      <c r="AK176" s="94">
        <f t="shared" si="168"/>
        <v>0</v>
      </c>
      <c r="AL176" s="94">
        <f>AUXILIAR!$BM$12</f>
        <v>1</v>
      </c>
      <c r="AM176" s="94">
        <f>IF($E$2="XADREZ",
     IFERROR(VLOOKUP(G176,AUXILIAR!AB:AC,2,TRUE),0),
     IF(AC173="SIM", 0, IFERROR(VLOOKUP(G176,AUXILIAR!AB:AC,2,TRUE),0))
)</f>
        <v>0</v>
      </c>
      <c r="AN176" s="124">
        <f t="shared" si="149"/>
        <v>0</v>
      </c>
      <c r="AO176" s="94">
        <f t="shared" si="169"/>
        <v>0</v>
      </c>
      <c r="AP176" s="94">
        <f t="shared" si="170"/>
        <v>0</v>
      </c>
      <c r="AQ176" s="124">
        <f>IFERROR(INDEX(AUXILIAR!$AG$3:$AG$28,MATCH(G176,AUXILIAR!$AH$3:$AH$28,1))*AM176,0)</f>
        <v>0</v>
      </c>
      <c r="AR176" s="99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71"/>
        <v/>
      </c>
      <c r="AT176" s="89" t="str">
        <f t="shared" si="172"/>
        <v/>
      </c>
      <c r="AU176" s="89" t="str">
        <f t="shared" si="173"/>
        <v/>
      </c>
      <c r="AV176" s="89" t="str">
        <f t="shared" si="174"/>
        <v/>
      </c>
      <c r="AW176" s="89" t="str">
        <f t="shared" si="175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76"/>
        <v>0</v>
      </c>
      <c r="AZ176" s="89">
        <f t="shared" si="177"/>
        <v>0</v>
      </c>
      <c r="BA176" s="116">
        <f t="shared" si="178"/>
        <v>0</v>
      </c>
      <c r="BB176" s="116">
        <f t="shared" si="179"/>
        <v>0</v>
      </c>
      <c r="BC176" s="116">
        <f t="shared" si="180"/>
        <v>0</v>
      </c>
      <c r="BD176" s="116">
        <f t="shared" si="154"/>
        <v>0</v>
      </c>
      <c r="BE176" s="89">
        <f t="shared" si="150"/>
        <v>0</v>
      </c>
      <c r="BF176" s="90">
        <f t="shared" si="151"/>
        <v>0.01</v>
      </c>
      <c r="BG176" s="90">
        <f t="shared" si="152"/>
        <v>3.3333333333333333E-2</v>
      </c>
      <c r="BH176" s="116">
        <f t="shared" si="153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3">
        <v>1200</v>
      </c>
      <c r="L177" s="121" t="str">
        <f t="shared" si="147"/>
        <v>0</v>
      </c>
      <c r="M177" s="122">
        <f t="shared" si="148"/>
        <v>0</v>
      </c>
      <c r="N177" s="90">
        <f t="shared" si="155"/>
        <v>0</v>
      </c>
      <c r="O177" s="123">
        <f>IF(L177="",0,IFERROR(IF($M$2="ESTUDO",BH177,N177)+INDEX(AUXILIAR!$AO$3:$AO$8,MATCH(L177,{0;2;5;10;20;50},1))*1440,IF(M177="ESTUDO",BH177,N177)))</f>
        <v>0</v>
      </c>
      <c r="P177" s="94">
        <f t="shared" si="156"/>
        <v>0</v>
      </c>
      <c r="Q177" s="94">
        <f t="shared" si="157"/>
        <v>0</v>
      </c>
      <c r="R177" s="91" t="s">
        <v>0</v>
      </c>
      <c r="S177" s="88">
        <f t="shared" si="158"/>
        <v>0</v>
      </c>
      <c r="T177" s="94">
        <f>((AM177/(1+AUXILIAR!$BJ$4))-((AM177/(1+AUXILIAR!$BJ$4))*AUXILIAR!$BK$4))-(((AM177/(1+AUXILIAR!$BJ$4))-((AM177/(1+AUXILIAR!$BJ$4))*AUXILIAR!$BK$4))*((AUXILIAR!$BL$4+AUXILIAR!$BM$4)))</f>
        <v>0</v>
      </c>
      <c r="U177" s="94">
        <f>((S177/(1+AUXILIAR!$BJ$7))-((S177/(1+AUXILIAR!$BJ$7))*AUXILIAR!$BK$7))-(((S177/(1+AUXILIAR!$BJ$7))-((S177/(1+AUXILIAR!$BJ$7))*AUXILIAR!$BK$7))*((AUXILIAR!$BL$7+AUXILIAR!$BM$7)))</f>
        <v>0</v>
      </c>
      <c r="V177" s="96">
        <f>AM177-(AM177/(1+AUXILIAR!$BJ$4))</f>
        <v>0</v>
      </c>
      <c r="W177" s="96">
        <f>(AM177-V177)*AUXILIAR!$BK$4</f>
        <v>0</v>
      </c>
      <c r="X177" s="96">
        <f>(AM177-V177-W177)*(AUXILIAR!$BL$4+AUXILIAR!$BM$4)</f>
        <v>0</v>
      </c>
      <c r="Y177" s="96">
        <f>X177-(X177/(1+AUXILIAR!$BJ$7))</f>
        <v>0</v>
      </c>
      <c r="Z177" s="96">
        <f>(S177-Y177)*AUXILIAR!$BK$7</f>
        <v>0</v>
      </c>
      <c r="AA177" s="96">
        <f>(S177-Y177-Z177)*(AUXILIAR!$BL$7+AUXILIAR!$BM$7)</f>
        <v>0</v>
      </c>
      <c r="AB177" s="97">
        <f t="shared" si="159"/>
        <v>0</v>
      </c>
      <c r="AC177" s="97">
        <f t="shared" si="160"/>
        <v>0</v>
      </c>
      <c r="AD177" s="97">
        <f t="shared" si="161"/>
        <v>0</v>
      </c>
      <c r="AE177" s="97">
        <f t="shared" si="162"/>
        <v>0</v>
      </c>
      <c r="AF177" s="97">
        <f t="shared" si="163"/>
        <v>0</v>
      </c>
      <c r="AG177" s="96">
        <f t="shared" si="164"/>
        <v>-1</v>
      </c>
      <c r="AH177" s="94">
        <f t="shared" si="165"/>
        <v>0</v>
      </c>
      <c r="AI177" s="98">
        <f t="shared" si="166"/>
        <v>0</v>
      </c>
      <c r="AJ177" s="94">
        <f t="shared" si="167"/>
        <v>0</v>
      </c>
      <c r="AK177" s="94">
        <f t="shared" si="168"/>
        <v>0</v>
      </c>
      <c r="AL177" s="94">
        <f>AUXILIAR!$BM$12</f>
        <v>1</v>
      </c>
      <c r="AM177" s="94">
        <f>IF($E$2="XADREZ",
     IFERROR(VLOOKUP(G177,AUXILIAR!AB:AC,2,TRUE),0),
     IF(AC174="SIM", 0, IFERROR(VLOOKUP(G177,AUXILIAR!AB:AC,2,TRUE),0))
)</f>
        <v>0</v>
      </c>
      <c r="AN177" s="124">
        <f t="shared" si="149"/>
        <v>0</v>
      </c>
      <c r="AO177" s="94">
        <f t="shared" si="169"/>
        <v>0</v>
      </c>
      <c r="AP177" s="94">
        <f t="shared" si="170"/>
        <v>0</v>
      </c>
      <c r="AQ177" s="124">
        <f>IFERROR(INDEX(AUXILIAR!$AG$3:$AG$28,MATCH(G177,AUXILIAR!$AH$3:$AH$28,1))*AM177,0)</f>
        <v>0</v>
      </c>
      <c r="AR177" s="99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71"/>
        <v/>
      </c>
      <c r="AT177" s="89" t="str">
        <f t="shared" si="172"/>
        <v/>
      </c>
      <c r="AU177" s="89" t="str">
        <f t="shared" si="173"/>
        <v/>
      </c>
      <c r="AV177" s="89" t="str">
        <f t="shared" si="174"/>
        <v/>
      </c>
      <c r="AW177" s="89" t="str">
        <f t="shared" si="175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76"/>
        <v>0</v>
      </c>
      <c r="AZ177" s="89">
        <f t="shared" si="177"/>
        <v>0</v>
      </c>
      <c r="BA177" s="116">
        <f t="shared" si="178"/>
        <v>0</v>
      </c>
      <c r="BB177" s="116">
        <f t="shared" si="179"/>
        <v>0</v>
      </c>
      <c r="BC177" s="116">
        <f t="shared" si="180"/>
        <v>0</v>
      </c>
      <c r="BD177" s="116">
        <f t="shared" si="154"/>
        <v>0</v>
      </c>
      <c r="BE177" s="89">
        <f t="shared" si="150"/>
        <v>0</v>
      </c>
      <c r="BF177" s="90">
        <f t="shared" si="151"/>
        <v>0.01</v>
      </c>
      <c r="BG177" s="90">
        <f t="shared" si="152"/>
        <v>3.3333333333333333E-2</v>
      </c>
      <c r="BH177" s="116">
        <f t="shared" si="153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3">
        <v>1200</v>
      </c>
      <c r="L178" s="121" t="str">
        <f t="shared" si="147"/>
        <v>0</v>
      </c>
      <c r="M178" s="122">
        <f t="shared" si="148"/>
        <v>0</v>
      </c>
      <c r="N178" s="90">
        <f t="shared" si="155"/>
        <v>0</v>
      </c>
      <c r="O178" s="123">
        <f>IF(L178="",0,IFERROR(IF($M$2="ESTUDO",BH178,N178)+INDEX(AUXILIAR!$AO$3:$AO$8,MATCH(L178,{0;2;5;10;20;50},1))*1440,IF(M178="ESTUDO",BH178,N178)))</f>
        <v>0</v>
      </c>
      <c r="P178" s="94">
        <f t="shared" si="156"/>
        <v>0</v>
      </c>
      <c r="Q178" s="94">
        <f t="shared" si="157"/>
        <v>0</v>
      </c>
      <c r="R178" s="91" t="s">
        <v>0</v>
      </c>
      <c r="S178" s="88">
        <f t="shared" si="158"/>
        <v>0</v>
      </c>
      <c r="T178" s="94">
        <f>((AM178/(1+AUXILIAR!$BJ$4))-((AM178/(1+AUXILIAR!$BJ$4))*AUXILIAR!$BK$4))-(((AM178/(1+AUXILIAR!$BJ$4))-((AM178/(1+AUXILIAR!$BJ$4))*AUXILIAR!$BK$4))*((AUXILIAR!$BL$4+AUXILIAR!$BM$4)))</f>
        <v>0</v>
      </c>
      <c r="U178" s="94">
        <f>((S178/(1+AUXILIAR!$BJ$7))-((S178/(1+AUXILIAR!$BJ$7))*AUXILIAR!$BK$7))-(((S178/(1+AUXILIAR!$BJ$7))-((S178/(1+AUXILIAR!$BJ$7))*AUXILIAR!$BK$7))*((AUXILIAR!$BL$7+AUXILIAR!$BM$7)))</f>
        <v>0</v>
      </c>
      <c r="V178" s="96">
        <f>AM178-(AM178/(1+AUXILIAR!$BJ$4))</f>
        <v>0</v>
      </c>
      <c r="W178" s="96">
        <f>(AM178-V178)*AUXILIAR!$BK$4</f>
        <v>0</v>
      </c>
      <c r="X178" s="96">
        <f>(AM178-V178-W178)*(AUXILIAR!$BL$4+AUXILIAR!$BM$4)</f>
        <v>0</v>
      </c>
      <c r="Y178" s="96">
        <f>X178-(X178/(1+AUXILIAR!$BJ$7))</f>
        <v>0</v>
      </c>
      <c r="Z178" s="96">
        <f>(S178-Y178)*AUXILIAR!$BK$7</f>
        <v>0</v>
      </c>
      <c r="AA178" s="96">
        <f>(S178-Y178-Z178)*(AUXILIAR!$BL$7+AUXILIAR!$BM$7)</f>
        <v>0</v>
      </c>
      <c r="AB178" s="97">
        <f t="shared" si="159"/>
        <v>0</v>
      </c>
      <c r="AC178" s="97">
        <f t="shared" si="160"/>
        <v>0</v>
      </c>
      <c r="AD178" s="97">
        <f t="shared" si="161"/>
        <v>0</v>
      </c>
      <c r="AE178" s="97">
        <f t="shared" si="162"/>
        <v>0</v>
      </c>
      <c r="AF178" s="97">
        <f t="shared" si="163"/>
        <v>0</v>
      </c>
      <c r="AG178" s="96">
        <f t="shared" si="164"/>
        <v>-1</v>
      </c>
      <c r="AH178" s="94">
        <f t="shared" si="165"/>
        <v>0</v>
      </c>
      <c r="AI178" s="98">
        <f t="shared" si="166"/>
        <v>0</v>
      </c>
      <c r="AJ178" s="94">
        <f t="shared" si="167"/>
        <v>0</v>
      </c>
      <c r="AK178" s="94">
        <f t="shared" si="168"/>
        <v>0</v>
      </c>
      <c r="AL178" s="94">
        <f>AUXILIAR!$BM$12</f>
        <v>1</v>
      </c>
      <c r="AM178" s="94">
        <f>IF($E$2="XADREZ",
     IFERROR(VLOOKUP(G178,AUXILIAR!AB:AC,2,TRUE),0),
     IF(AC175="SIM", 0, IFERROR(VLOOKUP(G178,AUXILIAR!AB:AC,2,TRUE),0))
)</f>
        <v>0</v>
      </c>
      <c r="AN178" s="124">
        <f t="shared" si="149"/>
        <v>0</v>
      </c>
      <c r="AO178" s="94">
        <f t="shared" si="169"/>
        <v>0</v>
      </c>
      <c r="AP178" s="94">
        <f t="shared" si="170"/>
        <v>0</v>
      </c>
      <c r="AQ178" s="124">
        <f>IFERROR(INDEX(AUXILIAR!$AG$3:$AG$28,MATCH(G178,AUXILIAR!$AH$3:$AH$28,1))*AM178,0)</f>
        <v>0</v>
      </c>
      <c r="AR178" s="99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71"/>
        <v/>
      </c>
      <c r="AT178" s="89" t="str">
        <f t="shared" si="172"/>
        <v/>
      </c>
      <c r="AU178" s="89" t="str">
        <f t="shared" si="173"/>
        <v/>
      </c>
      <c r="AV178" s="89" t="str">
        <f t="shared" si="174"/>
        <v/>
      </c>
      <c r="AW178" s="89" t="str">
        <f t="shared" si="175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76"/>
        <v>0</v>
      </c>
      <c r="AZ178" s="89">
        <f t="shared" si="177"/>
        <v>0</v>
      </c>
      <c r="BA178" s="116">
        <f t="shared" si="178"/>
        <v>0</v>
      </c>
      <c r="BB178" s="116">
        <f t="shared" si="179"/>
        <v>0</v>
      </c>
      <c r="BC178" s="116">
        <f t="shared" si="180"/>
        <v>0</v>
      </c>
      <c r="BD178" s="116">
        <f t="shared" si="154"/>
        <v>0</v>
      </c>
      <c r="BE178" s="89">
        <f t="shared" si="150"/>
        <v>0</v>
      </c>
      <c r="BF178" s="90">
        <f t="shared" si="151"/>
        <v>0.01</v>
      </c>
      <c r="BG178" s="90">
        <f t="shared" si="152"/>
        <v>3.3333333333333333E-2</v>
      </c>
      <c r="BH178" s="116">
        <f t="shared" si="153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3">
        <v>1200</v>
      </c>
      <c r="L179" s="121" t="str">
        <f t="shared" si="147"/>
        <v>0</v>
      </c>
      <c r="M179" s="122">
        <f t="shared" si="148"/>
        <v>0</v>
      </c>
      <c r="N179" s="90">
        <f t="shared" si="155"/>
        <v>0</v>
      </c>
      <c r="O179" s="123">
        <f>IF(L179="",0,IFERROR(IF($M$2="ESTUDO",BH179,N179)+INDEX(AUXILIAR!$AO$3:$AO$8,MATCH(L179,{0;2;5;10;20;50},1))*1440,IF(M179="ESTUDO",BH179,N179)))</f>
        <v>0</v>
      </c>
      <c r="P179" s="94">
        <f t="shared" si="156"/>
        <v>0</v>
      </c>
      <c r="Q179" s="94">
        <f t="shared" si="157"/>
        <v>0</v>
      </c>
      <c r="R179" s="91" t="s">
        <v>0</v>
      </c>
      <c r="S179" s="88">
        <f t="shared" si="158"/>
        <v>0</v>
      </c>
      <c r="T179" s="94">
        <f>((AM179/(1+AUXILIAR!$BJ$4))-((AM179/(1+AUXILIAR!$BJ$4))*AUXILIAR!$BK$4))-(((AM179/(1+AUXILIAR!$BJ$4))-((AM179/(1+AUXILIAR!$BJ$4))*AUXILIAR!$BK$4))*((AUXILIAR!$BL$4+AUXILIAR!$BM$4)))</f>
        <v>0</v>
      </c>
      <c r="U179" s="94">
        <f>((S179/(1+AUXILIAR!$BJ$7))-((S179/(1+AUXILIAR!$BJ$7))*AUXILIAR!$BK$7))-(((S179/(1+AUXILIAR!$BJ$7))-((S179/(1+AUXILIAR!$BJ$7))*AUXILIAR!$BK$7))*((AUXILIAR!$BL$7+AUXILIAR!$BM$7)))</f>
        <v>0</v>
      </c>
      <c r="V179" s="96">
        <f>AM179-(AM179/(1+AUXILIAR!$BJ$4))</f>
        <v>0</v>
      </c>
      <c r="W179" s="96">
        <f>(AM179-V179)*AUXILIAR!$BK$4</f>
        <v>0</v>
      </c>
      <c r="X179" s="96">
        <f>(AM179-V179-W179)*(AUXILIAR!$BL$4+AUXILIAR!$BM$4)</f>
        <v>0</v>
      </c>
      <c r="Y179" s="96">
        <f>X179-(X179/(1+AUXILIAR!$BJ$7))</f>
        <v>0</v>
      </c>
      <c r="Z179" s="96">
        <f>(S179-Y179)*AUXILIAR!$BK$7</f>
        <v>0</v>
      </c>
      <c r="AA179" s="96">
        <f>(S179-Y179-Z179)*(AUXILIAR!$BL$7+AUXILIAR!$BM$7)</f>
        <v>0</v>
      </c>
      <c r="AB179" s="97">
        <f t="shared" si="159"/>
        <v>0</v>
      </c>
      <c r="AC179" s="97">
        <f t="shared" si="160"/>
        <v>0</v>
      </c>
      <c r="AD179" s="97">
        <f t="shared" si="161"/>
        <v>0</v>
      </c>
      <c r="AE179" s="97">
        <f t="shared" si="162"/>
        <v>0</v>
      </c>
      <c r="AF179" s="97">
        <f t="shared" si="163"/>
        <v>0</v>
      </c>
      <c r="AG179" s="96">
        <f t="shared" si="164"/>
        <v>-1</v>
      </c>
      <c r="AH179" s="94">
        <f t="shared" si="165"/>
        <v>0</v>
      </c>
      <c r="AI179" s="98">
        <f t="shared" si="166"/>
        <v>0</v>
      </c>
      <c r="AJ179" s="94">
        <f t="shared" si="167"/>
        <v>0</v>
      </c>
      <c r="AK179" s="94">
        <f t="shared" si="168"/>
        <v>0</v>
      </c>
      <c r="AL179" s="94">
        <f>AUXILIAR!$BM$12</f>
        <v>1</v>
      </c>
      <c r="AM179" s="94">
        <f>IF($E$2="XADREZ",
     IFERROR(VLOOKUP(G179,AUXILIAR!AB:AC,2,TRUE),0),
     IF(AC176="SIM", 0, IFERROR(VLOOKUP(G179,AUXILIAR!AB:AC,2,TRUE),0))
)</f>
        <v>0</v>
      </c>
      <c r="AN179" s="124">
        <f t="shared" si="149"/>
        <v>0</v>
      </c>
      <c r="AO179" s="94">
        <f t="shared" si="169"/>
        <v>0</v>
      </c>
      <c r="AP179" s="94">
        <f t="shared" si="170"/>
        <v>0</v>
      </c>
      <c r="AQ179" s="124">
        <f>IFERROR(INDEX(AUXILIAR!$AG$3:$AG$28,MATCH(G179,AUXILIAR!$AH$3:$AH$28,1))*AM179,0)</f>
        <v>0</v>
      </c>
      <c r="AR179" s="99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71"/>
        <v/>
      </c>
      <c r="AT179" s="89" t="str">
        <f t="shared" si="172"/>
        <v/>
      </c>
      <c r="AU179" s="89" t="str">
        <f t="shared" si="173"/>
        <v/>
      </c>
      <c r="AV179" s="89" t="str">
        <f t="shared" si="174"/>
        <v/>
      </c>
      <c r="AW179" s="89" t="str">
        <f t="shared" si="175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76"/>
        <v>0</v>
      </c>
      <c r="AZ179" s="89">
        <f t="shared" si="177"/>
        <v>0</v>
      </c>
      <c r="BA179" s="116">
        <f t="shared" si="178"/>
        <v>0</v>
      </c>
      <c r="BB179" s="116">
        <f t="shared" si="179"/>
        <v>0</v>
      </c>
      <c r="BC179" s="116">
        <f t="shared" si="180"/>
        <v>0</v>
      </c>
      <c r="BD179" s="116">
        <f t="shared" si="154"/>
        <v>0</v>
      </c>
      <c r="BE179" s="89">
        <f t="shared" si="150"/>
        <v>0</v>
      </c>
      <c r="BF179" s="90">
        <f t="shared" si="151"/>
        <v>0.01</v>
      </c>
      <c r="BG179" s="90">
        <f t="shared" si="152"/>
        <v>3.3333333333333333E-2</v>
      </c>
      <c r="BH179" s="116">
        <f t="shared" si="153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3">
        <v>1200</v>
      </c>
      <c r="L180" s="121" t="str">
        <f t="shared" si="147"/>
        <v>0</v>
      </c>
      <c r="M180" s="122">
        <f t="shared" si="148"/>
        <v>0</v>
      </c>
      <c r="N180" s="90">
        <f t="shared" si="155"/>
        <v>0</v>
      </c>
      <c r="O180" s="123">
        <f>IF(L180="",0,IFERROR(IF($M$2="ESTUDO",BH180,N180)+INDEX(AUXILIAR!$AO$3:$AO$8,MATCH(L180,{0;2;5;10;20;50},1))*1440,IF(M180="ESTUDO",BH180,N180)))</f>
        <v>0</v>
      </c>
      <c r="P180" s="94">
        <f t="shared" si="156"/>
        <v>0</v>
      </c>
      <c r="Q180" s="94">
        <f t="shared" si="157"/>
        <v>0</v>
      </c>
      <c r="R180" s="91" t="s">
        <v>0</v>
      </c>
      <c r="S180" s="88">
        <f t="shared" si="158"/>
        <v>0</v>
      </c>
      <c r="T180" s="94">
        <f>((AM180/(1+AUXILIAR!$BJ$4))-((AM180/(1+AUXILIAR!$BJ$4))*AUXILIAR!$BK$4))-(((AM180/(1+AUXILIAR!$BJ$4))-((AM180/(1+AUXILIAR!$BJ$4))*AUXILIAR!$BK$4))*((AUXILIAR!$BL$4+AUXILIAR!$BM$4)))</f>
        <v>0</v>
      </c>
      <c r="U180" s="94">
        <f>((S180/(1+AUXILIAR!$BJ$7))-((S180/(1+AUXILIAR!$BJ$7))*AUXILIAR!$BK$7))-(((S180/(1+AUXILIAR!$BJ$7))-((S180/(1+AUXILIAR!$BJ$7))*AUXILIAR!$BK$7))*((AUXILIAR!$BL$7+AUXILIAR!$BM$7)))</f>
        <v>0</v>
      </c>
      <c r="V180" s="96">
        <f>AM180-(AM180/(1+AUXILIAR!$BJ$4))</f>
        <v>0</v>
      </c>
      <c r="W180" s="96">
        <f>(AM180-V180)*AUXILIAR!$BK$4</f>
        <v>0</v>
      </c>
      <c r="X180" s="96">
        <f>(AM180-V180-W180)*(AUXILIAR!$BL$4+AUXILIAR!$BM$4)</f>
        <v>0</v>
      </c>
      <c r="Y180" s="96">
        <f>X180-(X180/(1+AUXILIAR!$BJ$7))</f>
        <v>0</v>
      </c>
      <c r="Z180" s="96">
        <f>(S180-Y180)*AUXILIAR!$BK$7</f>
        <v>0</v>
      </c>
      <c r="AA180" s="96">
        <f>(S180-Y180-Z180)*(AUXILIAR!$BL$7+AUXILIAR!$BM$7)</f>
        <v>0</v>
      </c>
      <c r="AB180" s="97">
        <f t="shared" si="159"/>
        <v>0</v>
      </c>
      <c r="AC180" s="97">
        <f t="shared" si="160"/>
        <v>0</v>
      </c>
      <c r="AD180" s="97">
        <f t="shared" si="161"/>
        <v>0</v>
      </c>
      <c r="AE180" s="97">
        <f t="shared" si="162"/>
        <v>0</v>
      </c>
      <c r="AF180" s="97">
        <f t="shared" si="163"/>
        <v>0</v>
      </c>
      <c r="AG180" s="96">
        <f t="shared" si="164"/>
        <v>-1</v>
      </c>
      <c r="AH180" s="94">
        <f t="shared" si="165"/>
        <v>0</v>
      </c>
      <c r="AI180" s="98">
        <f t="shared" si="166"/>
        <v>0</v>
      </c>
      <c r="AJ180" s="94">
        <f t="shared" si="167"/>
        <v>0</v>
      </c>
      <c r="AK180" s="94">
        <f t="shared" si="168"/>
        <v>0</v>
      </c>
      <c r="AL180" s="94">
        <f>AUXILIAR!$BM$12</f>
        <v>1</v>
      </c>
      <c r="AM180" s="94">
        <f>IF($E$2="XADREZ",
     IFERROR(VLOOKUP(G180,AUXILIAR!AB:AC,2,TRUE),0),
     IF(AC177="SIM", 0, IFERROR(VLOOKUP(G180,AUXILIAR!AB:AC,2,TRUE),0))
)</f>
        <v>0</v>
      </c>
      <c r="AN180" s="124">
        <f t="shared" si="149"/>
        <v>0</v>
      </c>
      <c r="AO180" s="94">
        <f t="shared" si="169"/>
        <v>0</v>
      </c>
      <c r="AP180" s="94">
        <f t="shared" si="170"/>
        <v>0</v>
      </c>
      <c r="AQ180" s="124">
        <f>IFERROR(INDEX(AUXILIAR!$AG$3:$AG$28,MATCH(G180,AUXILIAR!$AH$3:$AH$28,1))*AM180,0)</f>
        <v>0</v>
      </c>
      <c r="AR180" s="99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71"/>
        <v/>
      </c>
      <c r="AT180" s="89" t="str">
        <f t="shared" si="172"/>
        <v/>
      </c>
      <c r="AU180" s="89" t="str">
        <f t="shared" si="173"/>
        <v/>
      </c>
      <c r="AV180" s="89" t="str">
        <f t="shared" si="174"/>
        <v/>
      </c>
      <c r="AW180" s="89" t="str">
        <f t="shared" si="175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76"/>
        <v>0</v>
      </c>
      <c r="AZ180" s="89">
        <f t="shared" si="177"/>
        <v>0</v>
      </c>
      <c r="BA180" s="116">
        <f t="shared" si="178"/>
        <v>0</v>
      </c>
      <c r="BB180" s="116">
        <f t="shared" si="179"/>
        <v>0</v>
      </c>
      <c r="BC180" s="116">
        <f t="shared" si="180"/>
        <v>0</v>
      </c>
      <c r="BD180" s="116">
        <f t="shared" si="154"/>
        <v>0</v>
      </c>
      <c r="BE180" s="89">
        <f t="shared" si="150"/>
        <v>0</v>
      </c>
      <c r="BF180" s="90">
        <f t="shared" si="151"/>
        <v>0.01</v>
      </c>
      <c r="BG180" s="90">
        <f t="shared" si="152"/>
        <v>3.3333333333333333E-2</v>
      </c>
      <c r="BH180" s="116">
        <f t="shared" si="153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3">
        <v>1200</v>
      </c>
      <c r="L181" s="121" t="str">
        <f t="shared" si="147"/>
        <v>0</v>
      </c>
      <c r="M181" s="122">
        <f t="shared" si="148"/>
        <v>0</v>
      </c>
      <c r="N181" s="90">
        <f t="shared" si="155"/>
        <v>0</v>
      </c>
      <c r="O181" s="123">
        <f>IF(L181="",0,IFERROR(IF($M$2="ESTUDO",BH181,N181)+INDEX(AUXILIAR!$AO$3:$AO$8,MATCH(L181,{0;2;5;10;20;50},1))*1440,IF(M181="ESTUDO",BH181,N181)))</f>
        <v>0</v>
      </c>
      <c r="P181" s="94">
        <f t="shared" si="156"/>
        <v>0</v>
      </c>
      <c r="Q181" s="94">
        <f t="shared" si="157"/>
        <v>0</v>
      </c>
      <c r="R181" s="91" t="s">
        <v>0</v>
      </c>
      <c r="S181" s="88">
        <f t="shared" si="158"/>
        <v>0</v>
      </c>
      <c r="T181" s="94">
        <f>((AM181/(1+AUXILIAR!$BJ$4))-((AM181/(1+AUXILIAR!$BJ$4))*AUXILIAR!$BK$4))-(((AM181/(1+AUXILIAR!$BJ$4))-((AM181/(1+AUXILIAR!$BJ$4))*AUXILIAR!$BK$4))*((AUXILIAR!$BL$4+AUXILIAR!$BM$4)))</f>
        <v>0</v>
      </c>
      <c r="U181" s="94">
        <f>((S181/(1+AUXILIAR!$BJ$7))-((S181/(1+AUXILIAR!$BJ$7))*AUXILIAR!$BK$7))-(((S181/(1+AUXILIAR!$BJ$7))-((S181/(1+AUXILIAR!$BJ$7))*AUXILIAR!$BK$7))*((AUXILIAR!$BL$7+AUXILIAR!$BM$7)))</f>
        <v>0</v>
      </c>
      <c r="V181" s="96">
        <f>AM181-(AM181/(1+AUXILIAR!$BJ$4))</f>
        <v>0</v>
      </c>
      <c r="W181" s="96">
        <f>(AM181-V181)*AUXILIAR!$BK$4</f>
        <v>0</v>
      </c>
      <c r="X181" s="96">
        <f>(AM181-V181-W181)*(AUXILIAR!$BL$4+AUXILIAR!$BM$4)</f>
        <v>0</v>
      </c>
      <c r="Y181" s="96">
        <f>X181-(X181/(1+AUXILIAR!$BJ$7))</f>
        <v>0</v>
      </c>
      <c r="Z181" s="96">
        <f>(S181-Y181)*AUXILIAR!$BK$7</f>
        <v>0</v>
      </c>
      <c r="AA181" s="96">
        <f>(S181-Y181-Z181)*(AUXILIAR!$BL$7+AUXILIAR!$BM$7)</f>
        <v>0</v>
      </c>
      <c r="AB181" s="97">
        <f t="shared" si="159"/>
        <v>0</v>
      </c>
      <c r="AC181" s="97">
        <f t="shared" si="160"/>
        <v>0</v>
      </c>
      <c r="AD181" s="97">
        <f t="shared" si="161"/>
        <v>0</v>
      </c>
      <c r="AE181" s="97">
        <f t="shared" si="162"/>
        <v>0</v>
      </c>
      <c r="AF181" s="97">
        <f t="shared" si="163"/>
        <v>0</v>
      </c>
      <c r="AG181" s="96">
        <f t="shared" si="164"/>
        <v>-1</v>
      </c>
      <c r="AH181" s="94">
        <f t="shared" si="165"/>
        <v>0</v>
      </c>
      <c r="AI181" s="98">
        <f t="shared" si="166"/>
        <v>0</v>
      </c>
      <c r="AJ181" s="94">
        <f t="shared" si="167"/>
        <v>0</v>
      </c>
      <c r="AK181" s="94">
        <f t="shared" si="168"/>
        <v>0</v>
      </c>
      <c r="AL181" s="94">
        <f>AUXILIAR!$BM$12</f>
        <v>1</v>
      </c>
      <c r="AM181" s="94">
        <f>IF($E$2="XADREZ",
     IFERROR(VLOOKUP(G181,AUXILIAR!AB:AC,2,TRUE),0),
     IF(AC178="SIM", 0, IFERROR(VLOOKUP(G181,AUXILIAR!AB:AC,2,TRUE),0))
)</f>
        <v>0</v>
      </c>
      <c r="AN181" s="124">
        <f t="shared" si="149"/>
        <v>0</v>
      </c>
      <c r="AO181" s="94">
        <f t="shared" si="169"/>
        <v>0</v>
      </c>
      <c r="AP181" s="94">
        <f t="shared" si="170"/>
        <v>0</v>
      </c>
      <c r="AQ181" s="124">
        <f>IFERROR(INDEX(AUXILIAR!$AG$3:$AG$28,MATCH(G181,AUXILIAR!$AH$3:$AH$28,1))*AM181,0)</f>
        <v>0</v>
      </c>
      <c r="AR181" s="99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71"/>
        <v/>
      </c>
      <c r="AT181" s="89" t="str">
        <f t="shared" si="172"/>
        <v/>
      </c>
      <c r="AU181" s="89" t="str">
        <f t="shared" si="173"/>
        <v/>
      </c>
      <c r="AV181" s="89" t="str">
        <f t="shared" si="174"/>
        <v/>
      </c>
      <c r="AW181" s="89" t="str">
        <f t="shared" si="175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76"/>
        <v>0</v>
      </c>
      <c r="AZ181" s="89">
        <f t="shared" si="177"/>
        <v>0</v>
      </c>
      <c r="BA181" s="116">
        <f t="shared" si="178"/>
        <v>0</v>
      </c>
      <c r="BB181" s="116">
        <f t="shared" si="179"/>
        <v>0</v>
      </c>
      <c r="BC181" s="116">
        <f t="shared" si="180"/>
        <v>0</v>
      </c>
      <c r="BD181" s="116">
        <f t="shared" si="154"/>
        <v>0</v>
      </c>
      <c r="BE181" s="89">
        <f t="shared" si="150"/>
        <v>0</v>
      </c>
      <c r="BF181" s="90">
        <f t="shared" si="151"/>
        <v>0.01</v>
      </c>
      <c r="BG181" s="90">
        <f t="shared" si="152"/>
        <v>3.3333333333333333E-2</v>
      </c>
      <c r="BH181" s="116">
        <f t="shared" si="153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3">
        <v>1200</v>
      </c>
      <c r="L182" s="121" t="str">
        <f t="shared" si="147"/>
        <v>0</v>
      </c>
      <c r="M182" s="122">
        <f t="shared" si="148"/>
        <v>0</v>
      </c>
      <c r="N182" s="90">
        <f t="shared" si="155"/>
        <v>0</v>
      </c>
      <c r="O182" s="123">
        <f>IF(L182="",0,IFERROR(IF($M$2="ESTUDO",BH182,N182)+INDEX(AUXILIAR!$AO$3:$AO$8,MATCH(L182,{0;2;5;10;20;50},1))*1440,IF(M182="ESTUDO",BH182,N182)))</f>
        <v>0</v>
      </c>
      <c r="P182" s="94">
        <f t="shared" si="156"/>
        <v>0</v>
      </c>
      <c r="Q182" s="94">
        <f t="shared" si="157"/>
        <v>0</v>
      </c>
      <c r="R182" s="91" t="s">
        <v>0</v>
      </c>
      <c r="S182" s="88">
        <f t="shared" si="158"/>
        <v>0</v>
      </c>
      <c r="T182" s="94">
        <f>((AM182/(1+AUXILIAR!$BJ$4))-((AM182/(1+AUXILIAR!$BJ$4))*AUXILIAR!$BK$4))-(((AM182/(1+AUXILIAR!$BJ$4))-((AM182/(1+AUXILIAR!$BJ$4))*AUXILIAR!$BK$4))*((AUXILIAR!$BL$4+AUXILIAR!$BM$4)))</f>
        <v>0</v>
      </c>
      <c r="U182" s="94">
        <f>((S182/(1+AUXILIAR!$BJ$7))-((S182/(1+AUXILIAR!$BJ$7))*AUXILIAR!$BK$7))-(((S182/(1+AUXILIAR!$BJ$7))-((S182/(1+AUXILIAR!$BJ$7))*AUXILIAR!$BK$7))*((AUXILIAR!$BL$7+AUXILIAR!$BM$7)))</f>
        <v>0</v>
      </c>
      <c r="V182" s="96">
        <f>AM182-(AM182/(1+AUXILIAR!$BJ$4))</f>
        <v>0</v>
      </c>
      <c r="W182" s="96">
        <f>(AM182-V182)*AUXILIAR!$BK$4</f>
        <v>0</v>
      </c>
      <c r="X182" s="96">
        <f>(AM182-V182-W182)*(AUXILIAR!$BL$4+AUXILIAR!$BM$4)</f>
        <v>0</v>
      </c>
      <c r="Y182" s="96">
        <f>X182-(X182/(1+AUXILIAR!$BJ$7))</f>
        <v>0</v>
      </c>
      <c r="Z182" s="96">
        <f>(S182-Y182)*AUXILIAR!$BK$7</f>
        <v>0</v>
      </c>
      <c r="AA182" s="96">
        <f>(S182-Y182-Z182)*(AUXILIAR!$BL$7+AUXILIAR!$BM$7)</f>
        <v>0</v>
      </c>
      <c r="AB182" s="97">
        <f t="shared" si="159"/>
        <v>0</v>
      </c>
      <c r="AC182" s="97">
        <f t="shared" si="160"/>
        <v>0</v>
      </c>
      <c r="AD182" s="97">
        <f t="shared" si="161"/>
        <v>0</v>
      </c>
      <c r="AE182" s="97">
        <f t="shared" si="162"/>
        <v>0</v>
      </c>
      <c r="AF182" s="97">
        <f t="shared" si="163"/>
        <v>0</v>
      </c>
      <c r="AG182" s="96">
        <f t="shared" si="164"/>
        <v>-1</v>
      </c>
      <c r="AH182" s="94">
        <f t="shared" si="165"/>
        <v>0</v>
      </c>
      <c r="AI182" s="98">
        <f t="shared" si="166"/>
        <v>0</v>
      </c>
      <c r="AJ182" s="94">
        <f t="shared" si="167"/>
        <v>0</v>
      </c>
      <c r="AK182" s="94">
        <f t="shared" si="168"/>
        <v>0</v>
      </c>
      <c r="AL182" s="94">
        <f>AUXILIAR!$BM$12</f>
        <v>1</v>
      </c>
      <c r="AM182" s="94">
        <f>IF($E$2="XADREZ",
     IFERROR(VLOOKUP(G182,AUXILIAR!AB:AC,2,TRUE),0),
     IF(AC179="SIM", 0, IFERROR(VLOOKUP(G182,AUXILIAR!AB:AC,2,TRUE),0))
)</f>
        <v>0</v>
      </c>
      <c r="AN182" s="124">
        <f t="shared" si="149"/>
        <v>0</v>
      </c>
      <c r="AO182" s="94">
        <f t="shared" si="169"/>
        <v>0</v>
      </c>
      <c r="AP182" s="94">
        <f t="shared" si="170"/>
        <v>0</v>
      </c>
      <c r="AQ182" s="124">
        <f>IFERROR(INDEX(AUXILIAR!$AG$3:$AG$28,MATCH(G182,AUXILIAR!$AH$3:$AH$28,1))*AM182,0)</f>
        <v>0</v>
      </c>
      <c r="AR182" s="99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71"/>
        <v/>
      </c>
      <c r="AT182" s="89" t="str">
        <f t="shared" si="172"/>
        <v/>
      </c>
      <c r="AU182" s="89" t="str">
        <f t="shared" si="173"/>
        <v/>
      </c>
      <c r="AV182" s="89" t="str">
        <f t="shared" si="174"/>
        <v/>
      </c>
      <c r="AW182" s="89" t="str">
        <f t="shared" si="175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76"/>
        <v>0</v>
      </c>
      <c r="AZ182" s="89">
        <f t="shared" si="177"/>
        <v>0</v>
      </c>
      <c r="BA182" s="116">
        <f t="shared" si="178"/>
        <v>0</v>
      </c>
      <c r="BB182" s="116">
        <f t="shared" si="179"/>
        <v>0</v>
      </c>
      <c r="BC182" s="116">
        <f t="shared" si="180"/>
        <v>0</v>
      </c>
      <c r="BD182" s="116">
        <f t="shared" si="154"/>
        <v>0</v>
      </c>
      <c r="BE182" s="89">
        <f t="shared" si="150"/>
        <v>0</v>
      </c>
      <c r="BF182" s="90">
        <f t="shared" si="151"/>
        <v>0.01</v>
      </c>
      <c r="BG182" s="90">
        <f t="shared" si="152"/>
        <v>3.3333333333333333E-2</v>
      </c>
      <c r="BH182" s="116">
        <f t="shared" si="153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3">
        <v>1200</v>
      </c>
      <c r="L183" s="121" t="str">
        <f t="shared" si="147"/>
        <v>0</v>
      </c>
      <c r="M183" s="122">
        <f t="shared" si="148"/>
        <v>0</v>
      </c>
      <c r="N183" s="90">
        <f t="shared" si="155"/>
        <v>0</v>
      </c>
      <c r="O183" s="123">
        <f>IF(L183="",0,IFERROR(IF($M$2="ESTUDO",BH183,N183)+INDEX(AUXILIAR!$AO$3:$AO$8,MATCH(L183,{0;2;5;10;20;50},1))*1440,IF(M183="ESTUDO",BH183,N183)))</f>
        <v>0</v>
      </c>
      <c r="P183" s="94">
        <f t="shared" si="156"/>
        <v>0</v>
      </c>
      <c r="Q183" s="94">
        <f t="shared" si="157"/>
        <v>0</v>
      </c>
      <c r="R183" s="91" t="s">
        <v>0</v>
      </c>
      <c r="S183" s="88">
        <f t="shared" si="158"/>
        <v>0</v>
      </c>
      <c r="T183" s="94">
        <f>((AM183/(1+AUXILIAR!$BJ$4))-((AM183/(1+AUXILIAR!$BJ$4))*AUXILIAR!$BK$4))-(((AM183/(1+AUXILIAR!$BJ$4))-((AM183/(1+AUXILIAR!$BJ$4))*AUXILIAR!$BK$4))*((AUXILIAR!$BL$4+AUXILIAR!$BM$4)))</f>
        <v>0</v>
      </c>
      <c r="U183" s="94">
        <f>((S183/(1+AUXILIAR!$BJ$7))-((S183/(1+AUXILIAR!$BJ$7))*AUXILIAR!$BK$7))-(((S183/(1+AUXILIAR!$BJ$7))-((S183/(1+AUXILIAR!$BJ$7))*AUXILIAR!$BK$7))*((AUXILIAR!$BL$7+AUXILIAR!$BM$7)))</f>
        <v>0</v>
      </c>
      <c r="V183" s="96">
        <f>AM183-(AM183/(1+AUXILIAR!$BJ$4))</f>
        <v>0</v>
      </c>
      <c r="W183" s="96">
        <f>(AM183-V183)*AUXILIAR!$BK$4</f>
        <v>0</v>
      </c>
      <c r="X183" s="96">
        <f>(AM183-V183-W183)*(AUXILIAR!$BL$4+AUXILIAR!$BM$4)</f>
        <v>0</v>
      </c>
      <c r="Y183" s="96">
        <f>X183-(X183/(1+AUXILIAR!$BJ$7))</f>
        <v>0</v>
      </c>
      <c r="Z183" s="96">
        <f>(S183-Y183)*AUXILIAR!$BK$7</f>
        <v>0</v>
      </c>
      <c r="AA183" s="96">
        <f>(S183-Y183-Z183)*(AUXILIAR!$BL$7+AUXILIAR!$BM$7)</f>
        <v>0</v>
      </c>
      <c r="AB183" s="97">
        <f t="shared" si="159"/>
        <v>0</v>
      </c>
      <c r="AC183" s="97">
        <f t="shared" si="160"/>
        <v>0</v>
      </c>
      <c r="AD183" s="97">
        <f t="shared" si="161"/>
        <v>0</v>
      </c>
      <c r="AE183" s="97">
        <f t="shared" si="162"/>
        <v>0</v>
      </c>
      <c r="AF183" s="97">
        <f t="shared" si="163"/>
        <v>0</v>
      </c>
      <c r="AG183" s="96">
        <f t="shared" si="164"/>
        <v>-1</v>
      </c>
      <c r="AH183" s="94">
        <f t="shared" si="165"/>
        <v>0</v>
      </c>
      <c r="AI183" s="98">
        <f t="shared" si="166"/>
        <v>0</v>
      </c>
      <c r="AJ183" s="94">
        <f t="shared" si="167"/>
        <v>0</v>
      </c>
      <c r="AK183" s="94">
        <f t="shared" si="168"/>
        <v>0</v>
      </c>
      <c r="AL183" s="94">
        <f>AUXILIAR!$BM$12</f>
        <v>1</v>
      </c>
      <c r="AM183" s="94">
        <f>IF($E$2="XADREZ",
     IFERROR(VLOOKUP(G183,AUXILIAR!AB:AC,2,TRUE),0),
     IF(AC180="SIM", 0, IFERROR(VLOOKUP(G183,AUXILIAR!AB:AC,2,TRUE),0))
)</f>
        <v>0</v>
      </c>
      <c r="AN183" s="124">
        <f t="shared" si="149"/>
        <v>0</v>
      </c>
      <c r="AO183" s="94">
        <f t="shared" si="169"/>
        <v>0</v>
      </c>
      <c r="AP183" s="94">
        <f t="shared" si="170"/>
        <v>0</v>
      </c>
      <c r="AQ183" s="124">
        <f>IFERROR(INDEX(AUXILIAR!$AG$3:$AG$28,MATCH(G183,AUXILIAR!$AH$3:$AH$28,1))*AM183,0)</f>
        <v>0</v>
      </c>
      <c r="AR183" s="99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71"/>
        <v/>
      </c>
      <c r="AT183" s="89" t="str">
        <f t="shared" si="172"/>
        <v/>
      </c>
      <c r="AU183" s="89" t="str">
        <f t="shared" si="173"/>
        <v/>
      </c>
      <c r="AV183" s="89" t="str">
        <f t="shared" si="174"/>
        <v/>
      </c>
      <c r="AW183" s="89" t="str">
        <f t="shared" si="175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76"/>
        <v>0</v>
      </c>
      <c r="AZ183" s="89">
        <f t="shared" si="177"/>
        <v>0</v>
      </c>
      <c r="BA183" s="116">
        <f t="shared" si="178"/>
        <v>0</v>
      </c>
      <c r="BB183" s="116">
        <f t="shared" si="179"/>
        <v>0</v>
      </c>
      <c r="BC183" s="116">
        <f t="shared" si="180"/>
        <v>0</v>
      </c>
      <c r="BD183" s="116">
        <f t="shared" si="154"/>
        <v>0</v>
      </c>
      <c r="BE183" s="89">
        <f t="shared" si="150"/>
        <v>0</v>
      </c>
      <c r="BF183" s="90">
        <f t="shared" si="151"/>
        <v>0.01</v>
      </c>
      <c r="BG183" s="90">
        <f t="shared" si="152"/>
        <v>3.3333333333333333E-2</v>
      </c>
      <c r="BH183" s="116">
        <f t="shared" si="153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3">
        <v>1200</v>
      </c>
      <c r="L184" s="121" t="str">
        <f t="shared" si="147"/>
        <v>0</v>
      </c>
      <c r="M184" s="122">
        <f t="shared" si="148"/>
        <v>0</v>
      </c>
      <c r="N184" s="90">
        <f t="shared" si="155"/>
        <v>0</v>
      </c>
      <c r="O184" s="123">
        <f>IF(L184="",0,IFERROR(IF($M$2="ESTUDO",BH184,N184)+INDEX(AUXILIAR!$AO$3:$AO$8,MATCH(L184,{0;2;5;10;20;50},1))*1440,IF(M184="ESTUDO",BH184,N184)))</f>
        <v>0</v>
      </c>
      <c r="P184" s="94">
        <f t="shared" si="156"/>
        <v>0</v>
      </c>
      <c r="Q184" s="94">
        <f t="shared" si="157"/>
        <v>0</v>
      </c>
      <c r="R184" s="91" t="s">
        <v>0</v>
      </c>
      <c r="S184" s="88">
        <f t="shared" si="158"/>
        <v>0</v>
      </c>
      <c r="T184" s="94">
        <f>((AM184/(1+AUXILIAR!$BJ$4))-((AM184/(1+AUXILIAR!$BJ$4))*AUXILIAR!$BK$4))-(((AM184/(1+AUXILIAR!$BJ$4))-((AM184/(1+AUXILIAR!$BJ$4))*AUXILIAR!$BK$4))*((AUXILIAR!$BL$4+AUXILIAR!$BM$4)))</f>
        <v>0</v>
      </c>
      <c r="U184" s="94">
        <f>((S184/(1+AUXILIAR!$BJ$7))-((S184/(1+AUXILIAR!$BJ$7))*AUXILIAR!$BK$7))-(((S184/(1+AUXILIAR!$BJ$7))-((S184/(1+AUXILIAR!$BJ$7))*AUXILIAR!$BK$7))*((AUXILIAR!$BL$7+AUXILIAR!$BM$7)))</f>
        <v>0</v>
      </c>
      <c r="V184" s="96">
        <f>AM184-(AM184/(1+AUXILIAR!$BJ$4))</f>
        <v>0</v>
      </c>
      <c r="W184" s="96">
        <f>(AM184-V184)*AUXILIAR!$BK$4</f>
        <v>0</v>
      </c>
      <c r="X184" s="96">
        <f>(AM184-V184-W184)*(AUXILIAR!$BL$4+AUXILIAR!$BM$4)</f>
        <v>0</v>
      </c>
      <c r="Y184" s="96">
        <f>X184-(X184/(1+AUXILIAR!$BJ$7))</f>
        <v>0</v>
      </c>
      <c r="Z184" s="96">
        <f>(S184-Y184)*AUXILIAR!$BK$7</f>
        <v>0</v>
      </c>
      <c r="AA184" s="96">
        <f>(S184-Y184-Z184)*(AUXILIAR!$BL$7+AUXILIAR!$BM$7)</f>
        <v>0</v>
      </c>
      <c r="AB184" s="97">
        <f t="shared" si="159"/>
        <v>0</v>
      </c>
      <c r="AC184" s="97">
        <f t="shared" si="160"/>
        <v>0</v>
      </c>
      <c r="AD184" s="97">
        <f t="shared" si="161"/>
        <v>0</v>
      </c>
      <c r="AE184" s="97">
        <f t="shared" si="162"/>
        <v>0</v>
      </c>
      <c r="AF184" s="97">
        <f t="shared" si="163"/>
        <v>0</v>
      </c>
      <c r="AG184" s="96">
        <f t="shared" si="164"/>
        <v>-1</v>
      </c>
      <c r="AH184" s="94">
        <f t="shared" si="165"/>
        <v>0</v>
      </c>
      <c r="AI184" s="98">
        <f t="shared" si="166"/>
        <v>0</v>
      </c>
      <c r="AJ184" s="94">
        <f t="shared" si="167"/>
        <v>0</v>
      </c>
      <c r="AK184" s="94">
        <f t="shared" si="168"/>
        <v>0</v>
      </c>
      <c r="AL184" s="94">
        <f>AUXILIAR!$BM$12</f>
        <v>1</v>
      </c>
      <c r="AM184" s="94">
        <f>IF($E$2="XADREZ",
     IFERROR(VLOOKUP(G184,AUXILIAR!AB:AC,2,TRUE),0),
     IF(AC181="SIM", 0, IFERROR(VLOOKUP(G184,AUXILIAR!AB:AC,2,TRUE),0))
)</f>
        <v>0</v>
      </c>
      <c r="AN184" s="124">
        <f t="shared" si="149"/>
        <v>0</v>
      </c>
      <c r="AO184" s="94">
        <f t="shared" si="169"/>
        <v>0</v>
      </c>
      <c r="AP184" s="94">
        <f t="shared" si="170"/>
        <v>0</v>
      </c>
      <c r="AQ184" s="124">
        <f>IFERROR(INDEX(AUXILIAR!$AG$3:$AG$28,MATCH(G184,AUXILIAR!$AH$3:$AH$28,1))*AM184,0)</f>
        <v>0</v>
      </c>
      <c r="AR184" s="99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71"/>
        <v/>
      </c>
      <c r="AT184" s="89" t="str">
        <f t="shared" si="172"/>
        <v/>
      </c>
      <c r="AU184" s="89" t="str">
        <f t="shared" si="173"/>
        <v/>
      </c>
      <c r="AV184" s="89" t="str">
        <f t="shared" si="174"/>
        <v/>
      </c>
      <c r="AW184" s="89" t="str">
        <f t="shared" si="175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76"/>
        <v>0</v>
      </c>
      <c r="AZ184" s="89">
        <f t="shared" si="177"/>
        <v>0</v>
      </c>
      <c r="BA184" s="116">
        <f t="shared" si="178"/>
        <v>0</v>
      </c>
      <c r="BB184" s="116">
        <f t="shared" si="179"/>
        <v>0</v>
      </c>
      <c r="BC184" s="116">
        <f t="shared" si="180"/>
        <v>0</v>
      </c>
      <c r="BD184" s="116">
        <f t="shared" si="154"/>
        <v>0</v>
      </c>
      <c r="BE184" s="89">
        <f t="shared" si="150"/>
        <v>0</v>
      </c>
      <c r="BF184" s="90">
        <f t="shared" si="151"/>
        <v>0.01</v>
      </c>
      <c r="BG184" s="90">
        <f t="shared" si="152"/>
        <v>3.3333333333333333E-2</v>
      </c>
      <c r="BH184" s="116">
        <f t="shared" si="153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3">
        <v>1200</v>
      </c>
      <c r="L185" s="121" t="str">
        <f t="shared" si="147"/>
        <v>0</v>
      </c>
      <c r="M185" s="122">
        <f t="shared" si="148"/>
        <v>0</v>
      </c>
      <c r="N185" s="90">
        <f t="shared" si="155"/>
        <v>0</v>
      </c>
      <c r="O185" s="123">
        <f>IF(L185="",0,IFERROR(IF($M$2="ESTUDO",BH185,N185)+INDEX(AUXILIAR!$AO$3:$AO$8,MATCH(L185,{0;2;5;10;20;50},1))*1440,IF(M185="ESTUDO",BH185,N185)))</f>
        <v>0</v>
      </c>
      <c r="P185" s="94">
        <f t="shared" si="156"/>
        <v>0</v>
      </c>
      <c r="Q185" s="94">
        <f t="shared" si="157"/>
        <v>0</v>
      </c>
      <c r="R185" s="91" t="s">
        <v>0</v>
      </c>
      <c r="S185" s="88">
        <f t="shared" si="158"/>
        <v>0</v>
      </c>
      <c r="T185" s="94">
        <f>((AM185/(1+AUXILIAR!$BJ$4))-((AM185/(1+AUXILIAR!$BJ$4))*AUXILIAR!$BK$4))-(((AM185/(1+AUXILIAR!$BJ$4))-((AM185/(1+AUXILIAR!$BJ$4))*AUXILIAR!$BK$4))*((AUXILIAR!$BL$4+AUXILIAR!$BM$4)))</f>
        <v>0</v>
      </c>
      <c r="U185" s="94">
        <f>((S185/(1+AUXILIAR!$BJ$7))-((S185/(1+AUXILIAR!$BJ$7))*AUXILIAR!$BK$7))-(((S185/(1+AUXILIAR!$BJ$7))-((S185/(1+AUXILIAR!$BJ$7))*AUXILIAR!$BK$7))*((AUXILIAR!$BL$7+AUXILIAR!$BM$7)))</f>
        <v>0</v>
      </c>
      <c r="V185" s="96">
        <f>AM185-(AM185/(1+AUXILIAR!$BJ$4))</f>
        <v>0</v>
      </c>
      <c r="W185" s="96">
        <f>(AM185-V185)*AUXILIAR!$BK$4</f>
        <v>0</v>
      </c>
      <c r="X185" s="96">
        <f>(AM185-V185-W185)*(AUXILIAR!$BL$4+AUXILIAR!$BM$4)</f>
        <v>0</v>
      </c>
      <c r="Y185" s="96">
        <f>X185-(X185/(1+AUXILIAR!$BJ$7))</f>
        <v>0</v>
      </c>
      <c r="Z185" s="96">
        <f>(S185-Y185)*AUXILIAR!$BK$7</f>
        <v>0</v>
      </c>
      <c r="AA185" s="96">
        <f>(S185-Y185-Z185)*(AUXILIAR!$BL$7+AUXILIAR!$BM$7)</f>
        <v>0</v>
      </c>
      <c r="AB185" s="97">
        <f t="shared" si="159"/>
        <v>0</v>
      </c>
      <c r="AC185" s="97">
        <f t="shared" si="160"/>
        <v>0</v>
      </c>
      <c r="AD185" s="97">
        <f t="shared" si="161"/>
        <v>0</v>
      </c>
      <c r="AE185" s="97">
        <f t="shared" si="162"/>
        <v>0</v>
      </c>
      <c r="AF185" s="97">
        <f t="shared" si="163"/>
        <v>0</v>
      </c>
      <c r="AG185" s="96">
        <f t="shared" si="164"/>
        <v>-1</v>
      </c>
      <c r="AH185" s="94">
        <f t="shared" si="165"/>
        <v>0</v>
      </c>
      <c r="AI185" s="98">
        <f t="shared" si="166"/>
        <v>0</v>
      </c>
      <c r="AJ185" s="94">
        <f t="shared" si="167"/>
        <v>0</v>
      </c>
      <c r="AK185" s="94">
        <f t="shared" si="168"/>
        <v>0</v>
      </c>
      <c r="AL185" s="94">
        <f>AUXILIAR!$BM$12</f>
        <v>1</v>
      </c>
      <c r="AM185" s="94">
        <f>IF($E$2="XADREZ",
     IFERROR(VLOOKUP(G185,AUXILIAR!AB:AC,2,TRUE),0),
     IF(AC182="SIM", 0, IFERROR(VLOOKUP(G185,AUXILIAR!AB:AC,2,TRUE),0))
)</f>
        <v>0</v>
      </c>
      <c r="AN185" s="124">
        <f t="shared" si="149"/>
        <v>0</v>
      </c>
      <c r="AO185" s="94">
        <f t="shared" si="169"/>
        <v>0</v>
      </c>
      <c r="AP185" s="94">
        <f t="shared" si="170"/>
        <v>0</v>
      </c>
      <c r="AQ185" s="124">
        <f>IFERROR(INDEX(AUXILIAR!$AG$3:$AG$28,MATCH(G185,AUXILIAR!$AH$3:$AH$28,1))*AM185,0)</f>
        <v>0</v>
      </c>
      <c r="AR185" s="99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71"/>
        <v/>
      </c>
      <c r="AT185" s="89" t="str">
        <f t="shared" si="172"/>
        <v/>
      </c>
      <c r="AU185" s="89" t="str">
        <f t="shared" si="173"/>
        <v/>
      </c>
      <c r="AV185" s="89" t="str">
        <f t="shared" si="174"/>
        <v/>
      </c>
      <c r="AW185" s="89" t="str">
        <f t="shared" si="175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76"/>
        <v>0</v>
      </c>
      <c r="AZ185" s="89">
        <f t="shared" si="177"/>
        <v>0</v>
      </c>
      <c r="BA185" s="116">
        <f t="shared" si="178"/>
        <v>0</v>
      </c>
      <c r="BB185" s="116">
        <f t="shared" si="179"/>
        <v>0</v>
      </c>
      <c r="BC185" s="116">
        <f t="shared" si="180"/>
        <v>0</v>
      </c>
      <c r="BD185" s="116">
        <f t="shared" si="154"/>
        <v>0</v>
      </c>
      <c r="BE185" s="89">
        <f t="shared" si="150"/>
        <v>0</v>
      </c>
      <c r="BF185" s="90">
        <f t="shared" si="151"/>
        <v>0.01</v>
      </c>
      <c r="BG185" s="90">
        <f t="shared" si="152"/>
        <v>3.3333333333333333E-2</v>
      </c>
      <c r="BH185" s="116">
        <f t="shared" si="153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3">
        <v>1200</v>
      </c>
      <c r="L186" s="121" t="str">
        <f t="shared" si="147"/>
        <v>0</v>
      </c>
      <c r="M186" s="122">
        <f t="shared" si="148"/>
        <v>0</v>
      </c>
      <c r="N186" s="90">
        <f t="shared" si="155"/>
        <v>0</v>
      </c>
      <c r="O186" s="123">
        <f>IF(L186="",0,IFERROR(IF($M$2="ESTUDO",BH186,N186)+INDEX(AUXILIAR!$AO$3:$AO$8,MATCH(L186,{0;2;5;10;20;50},1))*1440,IF(M186="ESTUDO",BH186,N186)))</f>
        <v>0</v>
      </c>
      <c r="P186" s="94">
        <f t="shared" si="156"/>
        <v>0</v>
      </c>
      <c r="Q186" s="94">
        <f t="shared" si="157"/>
        <v>0</v>
      </c>
      <c r="R186" s="91" t="s">
        <v>0</v>
      </c>
      <c r="S186" s="88">
        <f t="shared" si="158"/>
        <v>0</v>
      </c>
      <c r="T186" s="94">
        <f>((AM186/(1+AUXILIAR!$BJ$4))-((AM186/(1+AUXILIAR!$BJ$4))*AUXILIAR!$BK$4))-(((AM186/(1+AUXILIAR!$BJ$4))-((AM186/(1+AUXILIAR!$BJ$4))*AUXILIAR!$BK$4))*((AUXILIAR!$BL$4+AUXILIAR!$BM$4)))</f>
        <v>0</v>
      </c>
      <c r="U186" s="94">
        <f>((S186/(1+AUXILIAR!$BJ$7))-((S186/(1+AUXILIAR!$BJ$7))*AUXILIAR!$BK$7))-(((S186/(1+AUXILIAR!$BJ$7))-((S186/(1+AUXILIAR!$BJ$7))*AUXILIAR!$BK$7))*((AUXILIAR!$BL$7+AUXILIAR!$BM$7)))</f>
        <v>0</v>
      </c>
      <c r="V186" s="96">
        <f>AM186-(AM186/(1+AUXILIAR!$BJ$4))</f>
        <v>0</v>
      </c>
      <c r="W186" s="96">
        <f>(AM186-V186)*AUXILIAR!$BK$4</f>
        <v>0</v>
      </c>
      <c r="X186" s="96">
        <f>(AM186-V186-W186)*(AUXILIAR!$BL$4+AUXILIAR!$BM$4)</f>
        <v>0</v>
      </c>
      <c r="Y186" s="96">
        <f>X186-(X186/(1+AUXILIAR!$BJ$7))</f>
        <v>0</v>
      </c>
      <c r="Z186" s="96">
        <f>(S186-Y186)*AUXILIAR!$BK$7</f>
        <v>0</v>
      </c>
      <c r="AA186" s="96">
        <f>(S186-Y186-Z186)*(AUXILIAR!$BL$7+AUXILIAR!$BM$7)</f>
        <v>0</v>
      </c>
      <c r="AB186" s="97">
        <f t="shared" si="159"/>
        <v>0</v>
      </c>
      <c r="AC186" s="97">
        <f t="shared" si="160"/>
        <v>0</v>
      </c>
      <c r="AD186" s="97">
        <f t="shared" si="161"/>
        <v>0</v>
      </c>
      <c r="AE186" s="97">
        <f t="shared" si="162"/>
        <v>0</v>
      </c>
      <c r="AF186" s="97">
        <f t="shared" si="163"/>
        <v>0</v>
      </c>
      <c r="AG186" s="96">
        <f t="shared" si="164"/>
        <v>-1</v>
      </c>
      <c r="AH186" s="94">
        <f t="shared" si="165"/>
        <v>0</v>
      </c>
      <c r="AI186" s="98">
        <f t="shared" si="166"/>
        <v>0</v>
      </c>
      <c r="AJ186" s="94">
        <f t="shared" si="167"/>
        <v>0</v>
      </c>
      <c r="AK186" s="94">
        <f t="shared" si="168"/>
        <v>0</v>
      </c>
      <c r="AL186" s="94">
        <f>AUXILIAR!$BM$12</f>
        <v>1</v>
      </c>
      <c r="AM186" s="94">
        <f>IF($E$2="XADREZ",
     IFERROR(VLOOKUP(G186,AUXILIAR!AB:AC,2,TRUE),0),
     IF(AC183="SIM", 0, IFERROR(VLOOKUP(G186,AUXILIAR!AB:AC,2,TRUE),0))
)</f>
        <v>0</v>
      </c>
      <c r="AN186" s="124">
        <f t="shared" si="149"/>
        <v>0</v>
      </c>
      <c r="AO186" s="94">
        <f t="shared" si="169"/>
        <v>0</v>
      </c>
      <c r="AP186" s="94">
        <f t="shared" si="170"/>
        <v>0</v>
      </c>
      <c r="AQ186" s="124">
        <f>IFERROR(INDEX(AUXILIAR!$AG$3:$AG$28,MATCH(G186,AUXILIAR!$AH$3:$AH$28,1))*AM186,0)</f>
        <v>0</v>
      </c>
      <c r="AR186" s="99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71"/>
        <v/>
      </c>
      <c r="AT186" s="89" t="str">
        <f t="shared" si="172"/>
        <v/>
      </c>
      <c r="AU186" s="89" t="str">
        <f t="shared" si="173"/>
        <v/>
      </c>
      <c r="AV186" s="89" t="str">
        <f t="shared" si="174"/>
        <v/>
      </c>
      <c r="AW186" s="89" t="str">
        <f t="shared" si="175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76"/>
        <v>0</v>
      </c>
      <c r="AZ186" s="89">
        <f t="shared" si="177"/>
        <v>0</v>
      </c>
      <c r="BA186" s="116">
        <f t="shared" si="178"/>
        <v>0</v>
      </c>
      <c r="BB186" s="116">
        <f t="shared" si="179"/>
        <v>0</v>
      </c>
      <c r="BC186" s="116">
        <f t="shared" si="180"/>
        <v>0</v>
      </c>
      <c r="BD186" s="116">
        <f t="shared" si="154"/>
        <v>0</v>
      </c>
      <c r="BE186" s="89">
        <f t="shared" si="150"/>
        <v>0</v>
      </c>
      <c r="BF186" s="90">
        <f t="shared" si="151"/>
        <v>0.01</v>
      </c>
      <c r="BG186" s="90">
        <f t="shared" si="152"/>
        <v>3.3333333333333333E-2</v>
      </c>
      <c r="BH186" s="116">
        <f t="shared" si="153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3">
        <v>1200</v>
      </c>
      <c r="L187" s="121" t="str">
        <f t="shared" si="147"/>
        <v>0</v>
      </c>
      <c r="M187" s="122">
        <f t="shared" si="148"/>
        <v>0</v>
      </c>
      <c r="N187" s="90">
        <f t="shared" si="155"/>
        <v>0</v>
      </c>
      <c r="O187" s="123">
        <f>IF(L187="",0,IFERROR(IF($M$2="ESTUDO",BH187,N187)+INDEX(AUXILIAR!$AO$3:$AO$8,MATCH(L187,{0;2;5;10;20;50},1))*1440,IF(M187="ESTUDO",BH187,N187)))</f>
        <v>0</v>
      </c>
      <c r="P187" s="94">
        <f t="shared" si="156"/>
        <v>0</v>
      </c>
      <c r="Q187" s="94">
        <f t="shared" si="157"/>
        <v>0</v>
      </c>
      <c r="R187" s="91" t="s">
        <v>0</v>
      </c>
      <c r="S187" s="88">
        <f t="shared" si="158"/>
        <v>0</v>
      </c>
      <c r="T187" s="94">
        <f>((AM187/(1+AUXILIAR!$BJ$4))-((AM187/(1+AUXILIAR!$BJ$4))*AUXILIAR!$BK$4))-(((AM187/(1+AUXILIAR!$BJ$4))-((AM187/(1+AUXILIAR!$BJ$4))*AUXILIAR!$BK$4))*((AUXILIAR!$BL$4+AUXILIAR!$BM$4)))</f>
        <v>0</v>
      </c>
      <c r="U187" s="94">
        <f>((S187/(1+AUXILIAR!$BJ$7))-((S187/(1+AUXILIAR!$BJ$7))*AUXILIAR!$BK$7))-(((S187/(1+AUXILIAR!$BJ$7))-((S187/(1+AUXILIAR!$BJ$7))*AUXILIAR!$BK$7))*((AUXILIAR!$BL$7+AUXILIAR!$BM$7)))</f>
        <v>0</v>
      </c>
      <c r="V187" s="96">
        <f>AM187-(AM187/(1+AUXILIAR!$BJ$4))</f>
        <v>0</v>
      </c>
      <c r="W187" s="96">
        <f>(AM187-V187)*AUXILIAR!$BK$4</f>
        <v>0</v>
      </c>
      <c r="X187" s="96">
        <f>(AM187-V187-W187)*(AUXILIAR!$BL$4+AUXILIAR!$BM$4)</f>
        <v>0</v>
      </c>
      <c r="Y187" s="96">
        <f>X187-(X187/(1+AUXILIAR!$BJ$7))</f>
        <v>0</v>
      </c>
      <c r="Z187" s="96">
        <f>(S187-Y187)*AUXILIAR!$BK$7</f>
        <v>0</v>
      </c>
      <c r="AA187" s="96">
        <f>(S187-Y187-Z187)*(AUXILIAR!$BL$7+AUXILIAR!$BM$7)</f>
        <v>0</v>
      </c>
      <c r="AB187" s="97">
        <f t="shared" si="159"/>
        <v>0</v>
      </c>
      <c r="AC187" s="97">
        <f t="shared" si="160"/>
        <v>0</v>
      </c>
      <c r="AD187" s="97">
        <f t="shared" si="161"/>
        <v>0</v>
      </c>
      <c r="AE187" s="97">
        <f t="shared" si="162"/>
        <v>0</v>
      </c>
      <c r="AF187" s="97">
        <f t="shared" si="163"/>
        <v>0</v>
      </c>
      <c r="AG187" s="96">
        <f t="shared" si="164"/>
        <v>-1</v>
      </c>
      <c r="AH187" s="94">
        <f t="shared" si="165"/>
        <v>0</v>
      </c>
      <c r="AI187" s="98">
        <f t="shared" si="166"/>
        <v>0</v>
      </c>
      <c r="AJ187" s="94">
        <f t="shared" si="167"/>
        <v>0</v>
      </c>
      <c r="AK187" s="94">
        <f t="shared" si="168"/>
        <v>0</v>
      </c>
      <c r="AL187" s="94">
        <f>AUXILIAR!$BM$12</f>
        <v>1</v>
      </c>
      <c r="AM187" s="94">
        <f>IF($E$2="XADREZ",
     IFERROR(VLOOKUP(G187,AUXILIAR!AB:AC,2,TRUE),0),
     IF(AC184="SIM", 0, IFERROR(VLOOKUP(G187,AUXILIAR!AB:AC,2,TRUE),0))
)</f>
        <v>0</v>
      </c>
      <c r="AN187" s="124">
        <f t="shared" si="149"/>
        <v>0</v>
      </c>
      <c r="AO187" s="94">
        <f t="shared" si="169"/>
        <v>0</v>
      </c>
      <c r="AP187" s="94">
        <f t="shared" si="170"/>
        <v>0</v>
      </c>
      <c r="AQ187" s="124">
        <f>IFERROR(INDEX(AUXILIAR!$AG$3:$AG$28,MATCH(G187,AUXILIAR!$AH$3:$AH$28,1))*AM187,0)</f>
        <v>0</v>
      </c>
      <c r="AR187" s="99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71"/>
        <v/>
      </c>
      <c r="AT187" s="89" t="str">
        <f t="shared" si="172"/>
        <v/>
      </c>
      <c r="AU187" s="89" t="str">
        <f t="shared" si="173"/>
        <v/>
      </c>
      <c r="AV187" s="89" t="str">
        <f t="shared" si="174"/>
        <v/>
      </c>
      <c r="AW187" s="89" t="str">
        <f t="shared" si="175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76"/>
        <v>0</v>
      </c>
      <c r="AZ187" s="89">
        <f t="shared" si="177"/>
        <v>0</v>
      </c>
      <c r="BA187" s="116">
        <f t="shared" si="178"/>
        <v>0</v>
      </c>
      <c r="BB187" s="116">
        <f t="shared" si="179"/>
        <v>0</v>
      </c>
      <c r="BC187" s="116">
        <f t="shared" si="180"/>
        <v>0</v>
      </c>
      <c r="BD187" s="116">
        <f t="shared" si="154"/>
        <v>0</v>
      </c>
      <c r="BE187" s="89">
        <f t="shared" si="150"/>
        <v>0</v>
      </c>
      <c r="BF187" s="90">
        <f t="shared" si="151"/>
        <v>0.01</v>
      </c>
      <c r="BG187" s="90">
        <f t="shared" si="152"/>
        <v>3.3333333333333333E-2</v>
      </c>
      <c r="BH187" s="116">
        <f t="shared" si="153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3">
        <v>1200</v>
      </c>
      <c r="L188" s="121" t="str">
        <f t="shared" si="147"/>
        <v>0</v>
      </c>
      <c r="M188" s="122">
        <f t="shared" si="148"/>
        <v>0</v>
      </c>
      <c r="N188" s="90">
        <f t="shared" si="155"/>
        <v>0</v>
      </c>
      <c r="O188" s="123">
        <f>IF(L188="",0,IFERROR(IF($M$2="ESTUDO",BH188,N188)+INDEX(AUXILIAR!$AO$3:$AO$8,MATCH(L188,{0;2;5;10;20;50},1))*1440,IF(M188="ESTUDO",BH188,N188)))</f>
        <v>0</v>
      </c>
      <c r="P188" s="94">
        <f t="shared" si="156"/>
        <v>0</v>
      </c>
      <c r="Q188" s="94">
        <f t="shared" si="157"/>
        <v>0</v>
      </c>
      <c r="R188" s="91" t="s">
        <v>0</v>
      </c>
      <c r="S188" s="88">
        <f t="shared" si="158"/>
        <v>0</v>
      </c>
      <c r="T188" s="94">
        <f>((AM188/(1+AUXILIAR!$BJ$4))-((AM188/(1+AUXILIAR!$BJ$4))*AUXILIAR!$BK$4))-(((AM188/(1+AUXILIAR!$BJ$4))-((AM188/(1+AUXILIAR!$BJ$4))*AUXILIAR!$BK$4))*((AUXILIAR!$BL$4+AUXILIAR!$BM$4)))</f>
        <v>0</v>
      </c>
      <c r="U188" s="94">
        <f>((S188/(1+AUXILIAR!$BJ$7))-((S188/(1+AUXILIAR!$BJ$7))*AUXILIAR!$BK$7))-(((S188/(1+AUXILIAR!$BJ$7))-((S188/(1+AUXILIAR!$BJ$7))*AUXILIAR!$BK$7))*((AUXILIAR!$BL$7+AUXILIAR!$BM$7)))</f>
        <v>0</v>
      </c>
      <c r="V188" s="96">
        <f>AM188-(AM188/(1+AUXILIAR!$BJ$4))</f>
        <v>0</v>
      </c>
      <c r="W188" s="96">
        <f>(AM188-V188)*AUXILIAR!$BK$4</f>
        <v>0</v>
      </c>
      <c r="X188" s="96">
        <f>(AM188-V188-W188)*(AUXILIAR!$BL$4+AUXILIAR!$BM$4)</f>
        <v>0</v>
      </c>
      <c r="Y188" s="96">
        <f>X188-(X188/(1+AUXILIAR!$BJ$7))</f>
        <v>0</v>
      </c>
      <c r="Z188" s="96">
        <f>(S188-Y188)*AUXILIAR!$BK$7</f>
        <v>0</v>
      </c>
      <c r="AA188" s="96">
        <f>(S188-Y188-Z188)*(AUXILIAR!$BL$7+AUXILIAR!$BM$7)</f>
        <v>0</v>
      </c>
      <c r="AB188" s="97">
        <f t="shared" si="159"/>
        <v>0</v>
      </c>
      <c r="AC188" s="97">
        <f t="shared" si="160"/>
        <v>0</v>
      </c>
      <c r="AD188" s="97">
        <f t="shared" si="161"/>
        <v>0</v>
      </c>
      <c r="AE188" s="97">
        <f t="shared" si="162"/>
        <v>0</v>
      </c>
      <c r="AF188" s="97">
        <f t="shared" si="163"/>
        <v>0</v>
      </c>
      <c r="AG188" s="96">
        <f t="shared" si="164"/>
        <v>-1</v>
      </c>
      <c r="AH188" s="94">
        <f t="shared" si="165"/>
        <v>0</v>
      </c>
      <c r="AI188" s="98">
        <f t="shared" si="166"/>
        <v>0</v>
      </c>
      <c r="AJ188" s="94">
        <f t="shared" si="167"/>
        <v>0</v>
      </c>
      <c r="AK188" s="94">
        <f t="shared" si="168"/>
        <v>0</v>
      </c>
      <c r="AL188" s="94">
        <f>AUXILIAR!$BM$12</f>
        <v>1</v>
      </c>
      <c r="AM188" s="94">
        <f>IF($E$2="XADREZ",
     IFERROR(VLOOKUP(G188,AUXILIAR!AB:AC,2,TRUE),0),
     IF(AC185="SIM", 0, IFERROR(VLOOKUP(G188,AUXILIAR!AB:AC,2,TRUE),0))
)</f>
        <v>0</v>
      </c>
      <c r="AN188" s="124">
        <f t="shared" si="149"/>
        <v>0</v>
      </c>
      <c r="AO188" s="94">
        <f t="shared" si="169"/>
        <v>0</v>
      </c>
      <c r="AP188" s="94">
        <f t="shared" si="170"/>
        <v>0</v>
      </c>
      <c r="AQ188" s="124">
        <f>IFERROR(INDEX(AUXILIAR!$AG$3:$AG$28,MATCH(G188,AUXILIAR!$AH$3:$AH$28,1))*AM188,0)</f>
        <v>0</v>
      </c>
      <c r="AR188" s="99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71"/>
        <v/>
      </c>
      <c r="AT188" s="89" t="str">
        <f t="shared" si="172"/>
        <v/>
      </c>
      <c r="AU188" s="89" t="str">
        <f t="shared" si="173"/>
        <v/>
      </c>
      <c r="AV188" s="89" t="str">
        <f t="shared" si="174"/>
        <v/>
      </c>
      <c r="AW188" s="89" t="str">
        <f t="shared" si="175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76"/>
        <v>0</v>
      </c>
      <c r="AZ188" s="89">
        <f t="shared" si="177"/>
        <v>0</v>
      </c>
      <c r="BA188" s="116">
        <f t="shared" si="178"/>
        <v>0</v>
      </c>
      <c r="BB188" s="116">
        <f t="shared" si="179"/>
        <v>0</v>
      </c>
      <c r="BC188" s="116">
        <f t="shared" si="180"/>
        <v>0</v>
      </c>
      <c r="BD188" s="116">
        <f t="shared" si="154"/>
        <v>0</v>
      </c>
      <c r="BE188" s="89">
        <f t="shared" si="150"/>
        <v>0</v>
      </c>
      <c r="BF188" s="90">
        <f t="shared" si="151"/>
        <v>0.01</v>
      </c>
      <c r="BG188" s="90">
        <f t="shared" si="152"/>
        <v>3.3333333333333333E-2</v>
      </c>
      <c r="BH188" s="116">
        <f t="shared" si="153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3">
        <v>1200</v>
      </c>
      <c r="L189" s="121" t="str">
        <f t="shared" si="147"/>
        <v>0</v>
      </c>
      <c r="M189" s="122">
        <f t="shared" si="148"/>
        <v>0</v>
      </c>
      <c r="N189" s="90">
        <f t="shared" si="155"/>
        <v>0</v>
      </c>
      <c r="O189" s="123">
        <f>IF(L189="",0,IFERROR(IF($M$2="ESTUDO",BH189,N189)+INDEX(AUXILIAR!$AO$3:$AO$8,MATCH(L189,{0;2;5;10;20;50},1))*1440,IF(M189="ESTUDO",BH189,N189)))</f>
        <v>0</v>
      </c>
      <c r="P189" s="94">
        <f t="shared" si="156"/>
        <v>0</v>
      </c>
      <c r="Q189" s="94">
        <f t="shared" si="157"/>
        <v>0</v>
      </c>
      <c r="R189" s="91" t="s">
        <v>0</v>
      </c>
      <c r="S189" s="88">
        <f t="shared" si="158"/>
        <v>0</v>
      </c>
      <c r="T189" s="94">
        <f>((AM189/(1+AUXILIAR!$BJ$4))-((AM189/(1+AUXILIAR!$BJ$4))*AUXILIAR!$BK$4))-(((AM189/(1+AUXILIAR!$BJ$4))-((AM189/(1+AUXILIAR!$BJ$4))*AUXILIAR!$BK$4))*((AUXILIAR!$BL$4+AUXILIAR!$BM$4)))</f>
        <v>0</v>
      </c>
      <c r="U189" s="94">
        <f>((S189/(1+AUXILIAR!$BJ$7))-((S189/(1+AUXILIAR!$BJ$7))*AUXILIAR!$BK$7))-(((S189/(1+AUXILIAR!$BJ$7))-((S189/(1+AUXILIAR!$BJ$7))*AUXILIAR!$BK$7))*((AUXILIAR!$BL$7+AUXILIAR!$BM$7)))</f>
        <v>0</v>
      </c>
      <c r="V189" s="96">
        <f>AM189-(AM189/(1+AUXILIAR!$BJ$4))</f>
        <v>0</v>
      </c>
      <c r="W189" s="96">
        <f>(AM189-V189)*AUXILIAR!$BK$4</f>
        <v>0</v>
      </c>
      <c r="X189" s="96">
        <f>(AM189-V189-W189)*(AUXILIAR!$BL$4+AUXILIAR!$BM$4)</f>
        <v>0</v>
      </c>
      <c r="Y189" s="96">
        <f>X189-(X189/(1+AUXILIAR!$BJ$7))</f>
        <v>0</v>
      </c>
      <c r="Z189" s="96">
        <f>(S189-Y189)*AUXILIAR!$BK$7</f>
        <v>0</v>
      </c>
      <c r="AA189" s="96">
        <f>(S189-Y189-Z189)*(AUXILIAR!$BL$7+AUXILIAR!$BM$7)</f>
        <v>0</v>
      </c>
      <c r="AB189" s="97">
        <f t="shared" si="159"/>
        <v>0</v>
      </c>
      <c r="AC189" s="97">
        <f t="shared" si="160"/>
        <v>0</v>
      </c>
      <c r="AD189" s="97">
        <f t="shared" si="161"/>
        <v>0</v>
      </c>
      <c r="AE189" s="97">
        <f t="shared" si="162"/>
        <v>0</v>
      </c>
      <c r="AF189" s="97">
        <f t="shared" si="163"/>
        <v>0</v>
      </c>
      <c r="AG189" s="96">
        <f t="shared" si="164"/>
        <v>-1</v>
      </c>
      <c r="AH189" s="94">
        <f t="shared" si="165"/>
        <v>0</v>
      </c>
      <c r="AI189" s="98">
        <f t="shared" si="166"/>
        <v>0</v>
      </c>
      <c r="AJ189" s="94">
        <f t="shared" si="167"/>
        <v>0</v>
      </c>
      <c r="AK189" s="94">
        <f t="shared" si="168"/>
        <v>0</v>
      </c>
      <c r="AL189" s="94">
        <f>AUXILIAR!$BM$12</f>
        <v>1</v>
      </c>
      <c r="AM189" s="94">
        <f>IF($E$2="XADREZ",
     IFERROR(VLOOKUP(G189,AUXILIAR!AB:AC,2,TRUE),0),
     IF(AC186="SIM", 0, IFERROR(VLOOKUP(G189,AUXILIAR!AB:AC,2,TRUE),0))
)</f>
        <v>0</v>
      </c>
      <c r="AN189" s="124">
        <f t="shared" si="149"/>
        <v>0</v>
      </c>
      <c r="AO189" s="94">
        <f t="shared" si="169"/>
        <v>0</v>
      </c>
      <c r="AP189" s="94">
        <f t="shared" si="170"/>
        <v>0</v>
      </c>
      <c r="AQ189" s="124">
        <f>IFERROR(INDEX(AUXILIAR!$AG$3:$AG$28,MATCH(G189,AUXILIAR!$AH$3:$AH$28,1))*AM189,0)</f>
        <v>0</v>
      </c>
      <c r="AR189" s="99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71"/>
        <v/>
      </c>
      <c r="AT189" s="89" t="str">
        <f t="shared" si="172"/>
        <v/>
      </c>
      <c r="AU189" s="89" t="str">
        <f t="shared" si="173"/>
        <v/>
      </c>
      <c r="AV189" s="89" t="str">
        <f t="shared" si="174"/>
        <v/>
      </c>
      <c r="AW189" s="89" t="str">
        <f t="shared" si="175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76"/>
        <v>0</v>
      </c>
      <c r="AZ189" s="89">
        <f t="shared" si="177"/>
        <v>0</v>
      </c>
      <c r="BA189" s="116">
        <f t="shared" si="178"/>
        <v>0</v>
      </c>
      <c r="BB189" s="116">
        <f t="shared" si="179"/>
        <v>0</v>
      </c>
      <c r="BC189" s="116">
        <f t="shared" si="180"/>
        <v>0</v>
      </c>
      <c r="BD189" s="116">
        <f t="shared" si="154"/>
        <v>0</v>
      </c>
      <c r="BE189" s="89">
        <f t="shared" si="150"/>
        <v>0</v>
      </c>
      <c r="BF189" s="90">
        <f t="shared" si="151"/>
        <v>0.01</v>
      </c>
      <c r="BG189" s="90">
        <f t="shared" si="152"/>
        <v>3.3333333333333333E-2</v>
      </c>
      <c r="BH189" s="116">
        <f t="shared" si="153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3">
        <v>1200</v>
      </c>
      <c r="L190" s="121" t="str">
        <f t="shared" si="147"/>
        <v>0</v>
      </c>
      <c r="M190" s="122">
        <f t="shared" si="148"/>
        <v>0</v>
      </c>
      <c r="N190" s="90">
        <f t="shared" si="155"/>
        <v>0</v>
      </c>
      <c r="O190" s="123">
        <f>IF(L190="",0,IFERROR(IF($M$2="ESTUDO",BH190,N190)+INDEX(AUXILIAR!$AO$3:$AO$8,MATCH(L190,{0;2;5;10;20;50},1))*1440,IF(M190="ESTUDO",BH190,N190)))</f>
        <v>0</v>
      </c>
      <c r="P190" s="94">
        <f t="shared" si="156"/>
        <v>0</v>
      </c>
      <c r="Q190" s="94">
        <f t="shared" si="157"/>
        <v>0</v>
      </c>
      <c r="R190" s="91" t="s">
        <v>0</v>
      </c>
      <c r="S190" s="88">
        <f t="shared" si="158"/>
        <v>0</v>
      </c>
      <c r="T190" s="94">
        <f>((AM190/(1+AUXILIAR!$BJ$4))-((AM190/(1+AUXILIAR!$BJ$4))*AUXILIAR!$BK$4))-(((AM190/(1+AUXILIAR!$BJ$4))-((AM190/(1+AUXILIAR!$BJ$4))*AUXILIAR!$BK$4))*((AUXILIAR!$BL$4+AUXILIAR!$BM$4)))</f>
        <v>0</v>
      </c>
      <c r="U190" s="94">
        <f>((S190/(1+AUXILIAR!$BJ$7))-((S190/(1+AUXILIAR!$BJ$7))*AUXILIAR!$BK$7))-(((S190/(1+AUXILIAR!$BJ$7))-((S190/(1+AUXILIAR!$BJ$7))*AUXILIAR!$BK$7))*((AUXILIAR!$BL$7+AUXILIAR!$BM$7)))</f>
        <v>0</v>
      </c>
      <c r="V190" s="96">
        <f>AM190-(AM190/(1+AUXILIAR!$BJ$4))</f>
        <v>0</v>
      </c>
      <c r="W190" s="96">
        <f>(AM190-V190)*AUXILIAR!$BK$4</f>
        <v>0</v>
      </c>
      <c r="X190" s="96">
        <f>(AM190-V190-W190)*(AUXILIAR!$BL$4+AUXILIAR!$BM$4)</f>
        <v>0</v>
      </c>
      <c r="Y190" s="96">
        <f>X190-(X190/(1+AUXILIAR!$BJ$7))</f>
        <v>0</v>
      </c>
      <c r="Z190" s="96">
        <f>(S190-Y190)*AUXILIAR!$BK$7</f>
        <v>0</v>
      </c>
      <c r="AA190" s="96">
        <f>(S190-Y190-Z190)*(AUXILIAR!$BL$7+AUXILIAR!$BM$7)</f>
        <v>0</v>
      </c>
      <c r="AB190" s="97">
        <f t="shared" si="159"/>
        <v>0</v>
      </c>
      <c r="AC190" s="97">
        <f t="shared" si="160"/>
        <v>0</v>
      </c>
      <c r="AD190" s="97">
        <f t="shared" si="161"/>
        <v>0</v>
      </c>
      <c r="AE190" s="97">
        <f t="shared" si="162"/>
        <v>0</v>
      </c>
      <c r="AF190" s="97">
        <f t="shared" si="163"/>
        <v>0</v>
      </c>
      <c r="AG190" s="96">
        <f t="shared" si="164"/>
        <v>-1</v>
      </c>
      <c r="AH190" s="94">
        <f t="shared" si="165"/>
        <v>0</v>
      </c>
      <c r="AI190" s="98">
        <f t="shared" si="166"/>
        <v>0</v>
      </c>
      <c r="AJ190" s="94">
        <f t="shared" si="167"/>
        <v>0</v>
      </c>
      <c r="AK190" s="94">
        <f t="shared" si="168"/>
        <v>0</v>
      </c>
      <c r="AL190" s="94">
        <f>AUXILIAR!$BM$12</f>
        <v>1</v>
      </c>
      <c r="AM190" s="94">
        <f>IF($E$2="XADREZ",
     IFERROR(VLOOKUP(G190,AUXILIAR!AB:AC,2,TRUE),0),
     IF(AC187="SIM", 0, IFERROR(VLOOKUP(G190,AUXILIAR!AB:AC,2,TRUE),0))
)</f>
        <v>0</v>
      </c>
      <c r="AN190" s="124">
        <f t="shared" si="149"/>
        <v>0</v>
      </c>
      <c r="AO190" s="94">
        <f t="shared" si="169"/>
        <v>0</v>
      </c>
      <c r="AP190" s="94">
        <f t="shared" si="170"/>
        <v>0</v>
      </c>
      <c r="AQ190" s="124">
        <f>IFERROR(INDEX(AUXILIAR!$AG$3:$AG$28,MATCH(G190,AUXILIAR!$AH$3:$AH$28,1))*AM190,0)</f>
        <v>0</v>
      </c>
      <c r="AR190" s="99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71"/>
        <v/>
      </c>
      <c r="AT190" s="89" t="str">
        <f t="shared" si="172"/>
        <v/>
      </c>
      <c r="AU190" s="89" t="str">
        <f t="shared" si="173"/>
        <v/>
      </c>
      <c r="AV190" s="89" t="str">
        <f t="shared" si="174"/>
        <v/>
      </c>
      <c r="AW190" s="89" t="str">
        <f t="shared" si="175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76"/>
        <v>0</v>
      </c>
      <c r="AZ190" s="89">
        <f t="shared" si="177"/>
        <v>0</v>
      </c>
      <c r="BA190" s="116">
        <f t="shared" si="178"/>
        <v>0</v>
      </c>
      <c r="BB190" s="116">
        <f t="shared" si="179"/>
        <v>0</v>
      </c>
      <c r="BC190" s="116">
        <f t="shared" si="180"/>
        <v>0</v>
      </c>
      <c r="BD190" s="116">
        <f t="shared" si="154"/>
        <v>0</v>
      </c>
      <c r="BE190" s="89">
        <f t="shared" si="150"/>
        <v>0</v>
      </c>
      <c r="BF190" s="90">
        <f t="shared" si="151"/>
        <v>0.01</v>
      </c>
      <c r="BG190" s="90">
        <f t="shared" si="152"/>
        <v>3.3333333333333333E-2</v>
      </c>
      <c r="BH190" s="116">
        <f t="shared" si="153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3">
        <v>1200</v>
      </c>
      <c r="L191" s="121" t="str">
        <f t="shared" si="147"/>
        <v>0</v>
      </c>
      <c r="M191" s="122">
        <f t="shared" si="148"/>
        <v>0</v>
      </c>
      <c r="N191" s="90">
        <f t="shared" si="155"/>
        <v>0</v>
      </c>
      <c r="O191" s="123">
        <f>IF(L191="",0,IFERROR(IF($M$2="ESTUDO",BH191,N191)+INDEX(AUXILIAR!$AO$3:$AO$8,MATCH(L191,{0;2;5;10;20;50},1))*1440,IF(M191="ESTUDO",BH191,N191)))</f>
        <v>0</v>
      </c>
      <c r="P191" s="94">
        <f t="shared" si="156"/>
        <v>0</v>
      </c>
      <c r="Q191" s="94">
        <f t="shared" si="157"/>
        <v>0</v>
      </c>
      <c r="R191" s="91" t="s">
        <v>0</v>
      </c>
      <c r="S191" s="88">
        <f t="shared" si="158"/>
        <v>0</v>
      </c>
      <c r="T191" s="94">
        <f>((AM191/(1+AUXILIAR!$BJ$4))-((AM191/(1+AUXILIAR!$BJ$4))*AUXILIAR!$BK$4))-(((AM191/(1+AUXILIAR!$BJ$4))-((AM191/(1+AUXILIAR!$BJ$4))*AUXILIAR!$BK$4))*((AUXILIAR!$BL$4+AUXILIAR!$BM$4)))</f>
        <v>0</v>
      </c>
      <c r="U191" s="94">
        <f>((S191/(1+AUXILIAR!$BJ$7))-((S191/(1+AUXILIAR!$BJ$7))*AUXILIAR!$BK$7))-(((S191/(1+AUXILIAR!$BJ$7))-((S191/(1+AUXILIAR!$BJ$7))*AUXILIAR!$BK$7))*((AUXILIAR!$BL$7+AUXILIAR!$BM$7)))</f>
        <v>0</v>
      </c>
      <c r="V191" s="96">
        <f>AM191-(AM191/(1+AUXILIAR!$BJ$4))</f>
        <v>0</v>
      </c>
      <c r="W191" s="96">
        <f>(AM191-V191)*AUXILIAR!$BK$4</f>
        <v>0</v>
      </c>
      <c r="X191" s="96">
        <f>(AM191-V191-W191)*(AUXILIAR!$BL$4+AUXILIAR!$BM$4)</f>
        <v>0</v>
      </c>
      <c r="Y191" s="96">
        <f>X191-(X191/(1+AUXILIAR!$BJ$7))</f>
        <v>0</v>
      </c>
      <c r="Z191" s="96">
        <f>(S191-Y191)*AUXILIAR!$BK$7</f>
        <v>0</v>
      </c>
      <c r="AA191" s="96">
        <f>(S191-Y191-Z191)*(AUXILIAR!$BL$7+AUXILIAR!$BM$7)</f>
        <v>0</v>
      </c>
      <c r="AB191" s="97">
        <f t="shared" si="159"/>
        <v>0</v>
      </c>
      <c r="AC191" s="97">
        <f t="shared" si="160"/>
        <v>0</v>
      </c>
      <c r="AD191" s="97">
        <f t="shared" si="161"/>
        <v>0</v>
      </c>
      <c r="AE191" s="97">
        <f t="shared" si="162"/>
        <v>0</v>
      </c>
      <c r="AF191" s="97">
        <f t="shared" si="163"/>
        <v>0</v>
      </c>
      <c r="AG191" s="96">
        <f t="shared" si="164"/>
        <v>-1</v>
      </c>
      <c r="AH191" s="94">
        <f t="shared" si="165"/>
        <v>0</v>
      </c>
      <c r="AI191" s="98">
        <f t="shared" si="166"/>
        <v>0</v>
      </c>
      <c r="AJ191" s="94">
        <f t="shared" si="167"/>
        <v>0</v>
      </c>
      <c r="AK191" s="94">
        <f t="shared" si="168"/>
        <v>0</v>
      </c>
      <c r="AL191" s="94">
        <f>AUXILIAR!$BM$12</f>
        <v>1</v>
      </c>
      <c r="AM191" s="94">
        <f>IF($E$2="XADREZ",
     IFERROR(VLOOKUP(G191,AUXILIAR!AB:AC,2,TRUE),0),
     IF(AC188="SIM", 0, IFERROR(VLOOKUP(G191,AUXILIAR!AB:AC,2,TRUE),0))
)</f>
        <v>0</v>
      </c>
      <c r="AN191" s="124">
        <f t="shared" si="149"/>
        <v>0</v>
      </c>
      <c r="AO191" s="94">
        <f t="shared" si="169"/>
        <v>0</v>
      </c>
      <c r="AP191" s="94">
        <f t="shared" si="170"/>
        <v>0</v>
      </c>
      <c r="AQ191" s="124">
        <f>IFERROR(INDEX(AUXILIAR!$AG$3:$AG$28,MATCH(G191,AUXILIAR!$AH$3:$AH$28,1))*AM191,0)</f>
        <v>0</v>
      </c>
      <c r="AR191" s="99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71"/>
        <v/>
      </c>
      <c r="AT191" s="89" t="str">
        <f t="shared" si="172"/>
        <v/>
      </c>
      <c r="AU191" s="89" t="str">
        <f t="shared" si="173"/>
        <v/>
      </c>
      <c r="AV191" s="89" t="str">
        <f t="shared" si="174"/>
        <v/>
      </c>
      <c r="AW191" s="89" t="str">
        <f t="shared" si="175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76"/>
        <v>0</v>
      </c>
      <c r="AZ191" s="89">
        <f t="shared" si="177"/>
        <v>0</v>
      </c>
      <c r="BA191" s="116">
        <f t="shared" si="178"/>
        <v>0</v>
      </c>
      <c r="BB191" s="116">
        <f t="shared" si="179"/>
        <v>0</v>
      </c>
      <c r="BC191" s="116">
        <f t="shared" si="180"/>
        <v>0</v>
      </c>
      <c r="BD191" s="116">
        <f t="shared" si="154"/>
        <v>0</v>
      </c>
      <c r="BE191" s="89">
        <f t="shared" si="150"/>
        <v>0</v>
      </c>
      <c r="BF191" s="90">
        <f t="shared" si="151"/>
        <v>0.01</v>
      </c>
      <c r="BG191" s="90">
        <f t="shared" si="152"/>
        <v>3.3333333333333333E-2</v>
      </c>
      <c r="BH191" s="116">
        <f t="shared" si="153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3">
        <v>1200</v>
      </c>
      <c r="L192" s="121" t="str">
        <f t="shared" si="147"/>
        <v>0</v>
      </c>
      <c r="M192" s="122">
        <f t="shared" si="148"/>
        <v>0</v>
      </c>
      <c r="N192" s="90">
        <f t="shared" si="155"/>
        <v>0</v>
      </c>
      <c r="O192" s="123">
        <f>IF(L192="",0,IFERROR(IF($M$2="ESTUDO",BH192,N192)+INDEX(AUXILIAR!$AO$3:$AO$8,MATCH(L192,{0;2;5;10;20;50},1))*1440,IF(M192="ESTUDO",BH192,N192)))</f>
        <v>0</v>
      </c>
      <c r="P192" s="94">
        <f t="shared" si="156"/>
        <v>0</v>
      </c>
      <c r="Q192" s="94">
        <f t="shared" si="157"/>
        <v>0</v>
      </c>
      <c r="R192" s="91" t="s">
        <v>0</v>
      </c>
      <c r="S192" s="88">
        <f t="shared" si="158"/>
        <v>0</v>
      </c>
      <c r="T192" s="94">
        <f>((AM192/(1+AUXILIAR!$BJ$4))-((AM192/(1+AUXILIAR!$BJ$4))*AUXILIAR!$BK$4))-(((AM192/(1+AUXILIAR!$BJ$4))-((AM192/(1+AUXILIAR!$BJ$4))*AUXILIAR!$BK$4))*((AUXILIAR!$BL$4+AUXILIAR!$BM$4)))</f>
        <v>0</v>
      </c>
      <c r="U192" s="94">
        <f>((S192/(1+AUXILIAR!$BJ$7))-((S192/(1+AUXILIAR!$BJ$7))*AUXILIAR!$BK$7))-(((S192/(1+AUXILIAR!$BJ$7))-((S192/(1+AUXILIAR!$BJ$7))*AUXILIAR!$BK$7))*((AUXILIAR!$BL$7+AUXILIAR!$BM$7)))</f>
        <v>0</v>
      </c>
      <c r="V192" s="96">
        <f>AM192-(AM192/(1+AUXILIAR!$BJ$4))</f>
        <v>0</v>
      </c>
      <c r="W192" s="96">
        <f>(AM192-V192)*AUXILIAR!$BK$4</f>
        <v>0</v>
      </c>
      <c r="X192" s="96">
        <f>(AM192-V192-W192)*(AUXILIAR!$BL$4+AUXILIAR!$BM$4)</f>
        <v>0</v>
      </c>
      <c r="Y192" s="96">
        <f>X192-(X192/(1+AUXILIAR!$BJ$7))</f>
        <v>0</v>
      </c>
      <c r="Z192" s="96">
        <f>(S192-Y192)*AUXILIAR!$BK$7</f>
        <v>0</v>
      </c>
      <c r="AA192" s="96">
        <f>(S192-Y192-Z192)*(AUXILIAR!$BL$7+AUXILIAR!$BM$7)</f>
        <v>0</v>
      </c>
      <c r="AB192" s="97">
        <f t="shared" si="159"/>
        <v>0</v>
      </c>
      <c r="AC192" s="97">
        <f t="shared" si="160"/>
        <v>0</v>
      </c>
      <c r="AD192" s="97">
        <f t="shared" si="161"/>
        <v>0</v>
      </c>
      <c r="AE192" s="97">
        <f t="shared" si="162"/>
        <v>0</v>
      </c>
      <c r="AF192" s="97">
        <f t="shared" si="163"/>
        <v>0</v>
      </c>
      <c r="AG192" s="96">
        <f t="shared" si="164"/>
        <v>-1</v>
      </c>
      <c r="AH192" s="94">
        <f t="shared" si="165"/>
        <v>0</v>
      </c>
      <c r="AI192" s="98">
        <f t="shared" si="166"/>
        <v>0</v>
      </c>
      <c r="AJ192" s="94">
        <f t="shared" si="167"/>
        <v>0</v>
      </c>
      <c r="AK192" s="94">
        <f t="shared" si="168"/>
        <v>0</v>
      </c>
      <c r="AL192" s="94">
        <f>AUXILIAR!$BM$12</f>
        <v>1</v>
      </c>
      <c r="AM192" s="94">
        <f>IF($E$2="XADREZ",
     IFERROR(VLOOKUP(G192,AUXILIAR!AB:AC,2,TRUE),0),
     IF(AC189="SIM", 0, IFERROR(VLOOKUP(G192,AUXILIAR!AB:AC,2,TRUE),0))
)</f>
        <v>0</v>
      </c>
      <c r="AN192" s="124">
        <f t="shared" si="149"/>
        <v>0</v>
      </c>
      <c r="AO192" s="94">
        <f t="shared" si="169"/>
        <v>0</v>
      </c>
      <c r="AP192" s="94">
        <f t="shared" si="170"/>
        <v>0</v>
      </c>
      <c r="AQ192" s="124">
        <f>IFERROR(INDEX(AUXILIAR!$AG$3:$AG$28,MATCH(G192,AUXILIAR!$AH$3:$AH$28,1))*AM192,0)</f>
        <v>0</v>
      </c>
      <c r="AR192" s="99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71"/>
        <v/>
      </c>
      <c r="AT192" s="89" t="str">
        <f t="shared" si="172"/>
        <v/>
      </c>
      <c r="AU192" s="89" t="str">
        <f t="shared" si="173"/>
        <v/>
      </c>
      <c r="AV192" s="89" t="str">
        <f t="shared" si="174"/>
        <v/>
      </c>
      <c r="AW192" s="89" t="str">
        <f t="shared" si="175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76"/>
        <v>0</v>
      </c>
      <c r="AZ192" s="89">
        <f t="shared" si="177"/>
        <v>0</v>
      </c>
      <c r="BA192" s="116">
        <f t="shared" si="178"/>
        <v>0</v>
      </c>
      <c r="BB192" s="116">
        <f t="shared" si="179"/>
        <v>0</v>
      </c>
      <c r="BC192" s="116">
        <f t="shared" si="180"/>
        <v>0</v>
      </c>
      <c r="BD192" s="116">
        <f t="shared" si="154"/>
        <v>0</v>
      </c>
      <c r="BE192" s="89">
        <f t="shared" si="150"/>
        <v>0</v>
      </c>
      <c r="BF192" s="90">
        <f t="shared" si="151"/>
        <v>0.01</v>
      </c>
      <c r="BG192" s="90">
        <f t="shared" si="152"/>
        <v>3.3333333333333333E-2</v>
      </c>
      <c r="BH192" s="116">
        <f t="shared" si="153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3">
        <v>1200</v>
      </c>
      <c r="L193" s="121" t="str">
        <f t="shared" si="147"/>
        <v>0</v>
      </c>
      <c r="M193" s="122">
        <f t="shared" si="148"/>
        <v>0</v>
      </c>
      <c r="N193" s="90">
        <f t="shared" si="155"/>
        <v>0</v>
      </c>
      <c r="O193" s="123">
        <f>IF(L193="",0,IFERROR(IF($M$2="ESTUDO",BH193,N193)+INDEX(AUXILIAR!$AO$3:$AO$8,MATCH(L193,{0;2;5;10;20;50},1))*1440,IF(M193="ESTUDO",BH193,N193)))</f>
        <v>0</v>
      </c>
      <c r="P193" s="94">
        <f t="shared" si="156"/>
        <v>0</v>
      </c>
      <c r="Q193" s="94">
        <f t="shared" si="157"/>
        <v>0</v>
      </c>
      <c r="R193" s="91" t="s">
        <v>0</v>
      </c>
      <c r="S193" s="88">
        <f t="shared" si="158"/>
        <v>0</v>
      </c>
      <c r="T193" s="94">
        <f>((AM193/(1+AUXILIAR!$BJ$4))-((AM193/(1+AUXILIAR!$BJ$4))*AUXILIAR!$BK$4))-(((AM193/(1+AUXILIAR!$BJ$4))-((AM193/(1+AUXILIAR!$BJ$4))*AUXILIAR!$BK$4))*((AUXILIAR!$BL$4+AUXILIAR!$BM$4)))</f>
        <v>0</v>
      </c>
      <c r="U193" s="94">
        <f>((S193/(1+AUXILIAR!$BJ$7))-((S193/(1+AUXILIAR!$BJ$7))*AUXILIAR!$BK$7))-(((S193/(1+AUXILIAR!$BJ$7))-((S193/(1+AUXILIAR!$BJ$7))*AUXILIAR!$BK$7))*((AUXILIAR!$BL$7+AUXILIAR!$BM$7)))</f>
        <v>0</v>
      </c>
      <c r="V193" s="96">
        <f>AM193-(AM193/(1+AUXILIAR!$BJ$4))</f>
        <v>0</v>
      </c>
      <c r="W193" s="96">
        <f>(AM193-V193)*AUXILIAR!$BK$4</f>
        <v>0</v>
      </c>
      <c r="X193" s="96">
        <f>(AM193-V193-W193)*(AUXILIAR!$BL$4+AUXILIAR!$BM$4)</f>
        <v>0</v>
      </c>
      <c r="Y193" s="96">
        <f>X193-(X193/(1+AUXILIAR!$BJ$7))</f>
        <v>0</v>
      </c>
      <c r="Z193" s="96">
        <f>(S193-Y193)*AUXILIAR!$BK$7</f>
        <v>0</v>
      </c>
      <c r="AA193" s="96">
        <f>(S193-Y193-Z193)*(AUXILIAR!$BL$7+AUXILIAR!$BM$7)</f>
        <v>0</v>
      </c>
      <c r="AB193" s="97">
        <f t="shared" si="159"/>
        <v>0</v>
      </c>
      <c r="AC193" s="97">
        <f t="shared" si="160"/>
        <v>0</v>
      </c>
      <c r="AD193" s="97">
        <f t="shared" si="161"/>
        <v>0</v>
      </c>
      <c r="AE193" s="97">
        <f t="shared" si="162"/>
        <v>0</v>
      </c>
      <c r="AF193" s="97">
        <f t="shared" si="163"/>
        <v>0</v>
      </c>
      <c r="AG193" s="96">
        <f t="shared" si="164"/>
        <v>-1</v>
      </c>
      <c r="AH193" s="94">
        <f t="shared" si="165"/>
        <v>0</v>
      </c>
      <c r="AI193" s="98">
        <f t="shared" si="166"/>
        <v>0</v>
      </c>
      <c r="AJ193" s="94">
        <f t="shared" si="167"/>
        <v>0</v>
      </c>
      <c r="AK193" s="94">
        <f t="shared" si="168"/>
        <v>0</v>
      </c>
      <c r="AL193" s="94">
        <f>AUXILIAR!$BM$12</f>
        <v>1</v>
      </c>
      <c r="AM193" s="94">
        <f>IF($E$2="XADREZ",
     IFERROR(VLOOKUP(G193,AUXILIAR!AB:AC,2,TRUE),0),
     IF(AC190="SIM", 0, IFERROR(VLOOKUP(G193,AUXILIAR!AB:AC,2,TRUE),0))
)</f>
        <v>0</v>
      </c>
      <c r="AN193" s="124">
        <f t="shared" si="149"/>
        <v>0</v>
      </c>
      <c r="AO193" s="94">
        <f t="shared" si="169"/>
        <v>0</v>
      </c>
      <c r="AP193" s="94">
        <f t="shared" si="170"/>
        <v>0</v>
      </c>
      <c r="AQ193" s="124">
        <f>IFERROR(INDEX(AUXILIAR!$AG$3:$AG$28,MATCH(G193,AUXILIAR!$AH$3:$AH$28,1))*AM193,0)</f>
        <v>0</v>
      </c>
      <c r="AR193" s="99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71"/>
        <v/>
      </c>
      <c r="AT193" s="89" t="str">
        <f t="shared" si="172"/>
        <v/>
      </c>
      <c r="AU193" s="89" t="str">
        <f t="shared" si="173"/>
        <v/>
      </c>
      <c r="AV193" s="89" t="str">
        <f t="shared" si="174"/>
        <v/>
      </c>
      <c r="AW193" s="89" t="str">
        <f t="shared" si="175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76"/>
        <v>0</v>
      </c>
      <c r="AZ193" s="89">
        <f t="shared" si="177"/>
        <v>0</v>
      </c>
      <c r="BA193" s="116">
        <f t="shared" si="178"/>
        <v>0</v>
      </c>
      <c r="BB193" s="116">
        <f t="shared" si="179"/>
        <v>0</v>
      </c>
      <c r="BC193" s="116">
        <f t="shared" si="180"/>
        <v>0</v>
      </c>
      <c r="BD193" s="116">
        <f t="shared" si="154"/>
        <v>0</v>
      </c>
      <c r="BE193" s="89">
        <f t="shared" si="150"/>
        <v>0</v>
      </c>
      <c r="BF193" s="90">
        <f t="shared" si="151"/>
        <v>0.01</v>
      </c>
      <c r="BG193" s="90">
        <f t="shared" si="152"/>
        <v>3.3333333333333333E-2</v>
      </c>
      <c r="BH193" s="116">
        <f t="shared" si="153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3">
        <v>1200</v>
      </c>
      <c r="L194" s="121" t="str">
        <f t="shared" si="147"/>
        <v>0</v>
      </c>
      <c r="M194" s="122">
        <f t="shared" si="148"/>
        <v>0</v>
      </c>
      <c r="N194" s="90">
        <f t="shared" si="155"/>
        <v>0</v>
      </c>
      <c r="O194" s="123">
        <f>IF(L194="",0,IFERROR(IF($M$2="ESTUDO",BH194,N194)+INDEX(AUXILIAR!$AO$3:$AO$8,MATCH(L194,{0;2;5;10;20;50},1))*1440,IF(M194="ESTUDO",BH194,N194)))</f>
        <v>0</v>
      </c>
      <c r="P194" s="94">
        <f t="shared" si="156"/>
        <v>0</v>
      </c>
      <c r="Q194" s="94">
        <f t="shared" si="157"/>
        <v>0</v>
      </c>
      <c r="R194" s="91" t="s">
        <v>0</v>
      </c>
      <c r="S194" s="88">
        <f t="shared" si="158"/>
        <v>0</v>
      </c>
      <c r="T194" s="94">
        <f>((AM194/(1+AUXILIAR!$BJ$4))-((AM194/(1+AUXILIAR!$BJ$4))*AUXILIAR!$BK$4))-(((AM194/(1+AUXILIAR!$BJ$4))-((AM194/(1+AUXILIAR!$BJ$4))*AUXILIAR!$BK$4))*((AUXILIAR!$BL$4+AUXILIAR!$BM$4)))</f>
        <v>0</v>
      </c>
      <c r="U194" s="94">
        <f>((S194/(1+AUXILIAR!$BJ$7))-((S194/(1+AUXILIAR!$BJ$7))*AUXILIAR!$BK$7))-(((S194/(1+AUXILIAR!$BJ$7))-((S194/(1+AUXILIAR!$BJ$7))*AUXILIAR!$BK$7))*((AUXILIAR!$BL$7+AUXILIAR!$BM$7)))</f>
        <v>0</v>
      </c>
      <c r="V194" s="96">
        <f>AM194-(AM194/(1+AUXILIAR!$BJ$4))</f>
        <v>0</v>
      </c>
      <c r="W194" s="96">
        <f>(AM194-V194)*AUXILIAR!$BK$4</f>
        <v>0</v>
      </c>
      <c r="X194" s="96">
        <f>(AM194-V194-W194)*(AUXILIAR!$BL$4+AUXILIAR!$BM$4)</f>
        <v>0</v>
      </c>
      <c r="Y194" s="96">
        <f>X194-(X194/(1+AUXILIAR!$BJ$7))</f>
        <v>0</v>
      </c>
      <c r="Z194" s="96">
        <f>(S194-Y194)*AUXILIAR!$BK$7</f>
        <v>0</v>
      </c>
      <c r="AA194" s="96">
        <f>(S194-Y194-Z194)*(AUXILIAR!$BL$7+AUXILIAR!$BM$7)</f>
        <v>0</v>
      </c>
      <c r="AB194" s="97">
        <f t="shared" si="159"/>
        <v>0</v>
      </c>
      <c r="AC194" s="97">
        <f t="shared" si="160"/>
        <v>0</v>
      </c>
      <c r="AD194" s="97">
        <f t="shared" si="161"/>
        <v>0</v>
      </c>
      <c r="AE194" s="97">
        <f t="shared" si="162"/>
        <v>0</v>
      </c>
      <c r="AF194" s="97">
        <f t="shared" si="163"/>
        <v>0</v>
      </c>
      <c r="AG194" s="96">
        <f t="shared" si="164"/>
        <v>-1</v>
      </c>
      <c r="AH194" s="94">
        <f t="shared" si="165"/>
        <v>0</v>
      </c>
      <c r="AI194" s="98">
        <f t="shared" si="166"/>
        <v>0</v>
      </c>
      <c r="AJ194" s="94">
        <f t="shared" si="167"/>
        <v>0</v>
      </c>
      <c r="AK194" s="94">
        <f t="shared" si="168"/>
        <v>0</v>
      </c>
      <c r="AL194" s="94">
        <f>AUXILIAR!$BM$12</f>
        <v>1</v>
      </c>
      <c r="AM194" s="94">
        <f>IF($E$2="XADREZ",
     IFERROR(VLOOKUP(G194,AUXILIAR!AB:AC,2,TRUE),0),
     IF(AC191="SIM", 0, IFERROR(VLOOKUP(G194,AUXILIAR!AB:AC,2,TRUE),0))
)</f>
        <v>0</v>
      </c>
      <c r="AN194" s="124">
        <f t="shared" si="149"/>
        <v>0</v>
      </c>
      <c r="AO194" s="94">
        <f t="shared" si="169"/>
        <v>0</v>
      </c>
      <c r="AP194" s="94">
        <f t="shared" si="170"/>
        <v>0</v>
      </c>
      <c r="AQ194" s="124">
        <f>IFERROR(INDEX(AUXILIAR!$AG$3:$AG$28,MATCH(G194,AUXILIAR!$AH$3:$AH$28,1))*AM194,0)</f>
        <v>0</v>
      </c>
      <c r="AR194" s="99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71"/>
        <v/>
      </c>
      <c r="AT194" s="89" t="str">
        <f t="shared" si="172"/>
        <v/>
      </c>
      <c r="AU194" s="89" t="str">
        <f t="shared" si="173"/>
        <v/>
      </c>
      <c r="AV194" s="89" t="str">
        <f t="shared" si="174"/>
        <v/>
      </c>
      <c r="AW194" s="89" t="str">
        <f t="shared" si="175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76"/>
        <v>0</v>
      </c>
      <c r="AZ194" s="89">
        <f t="shared" si="177"/>
        <v>0</v>
      </c>
      <c r="BA194" s="116">
        <f t="shared" si="178"/>
        <v>0</v>
      </c>
      <c r="BB194" s="116">
        <f t="shared" si="179"/>
        <v>0</v>
      </c>
      <c r="BC194" s="116">
        <f t="shared" si="180"/>
        <v>0</v>
      </c>
      <c r="BD194" s="116">
        <f t="shared" si="154"/>
        <v>0</v>
      </c>
      <c r="BE194" s="89">
        <f t="shared" si="150"/>
        <v>0</v>
      </c>
      <c r="BF194" s="90">
        <f t="shared" si="151"/>
        <v>0.01</v>
      </c>
      <c r="BG194" s="90">
        <f t="shared" si="152"/>
        <v>3.3333333333333333E-2</v>
      </c>
      <c r="BH194" s="116">
        <f t="shared" si="153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3">
        <v>1200</v>
      </c>
      <c r="L195" s="121" t="str">
        <f t="shared" si="147"/>
        <v>0</v>
      </c>
      <c r="M195" s="122">
        <f t="shared" si="148"/>
        <v>0</v>
      </c>
      <c r="N195" s="90">
        <f t="shared" si="155"/>
        <v>0</v>
      </c>
      <c r="O195" s="123">
        <f>IF(L195="",0,IFERROR(IF($M$2="ESTUDO",BH195,N195)+INDEX(AUXILIAR!$AO$3:$AO$8,MATCH(L195,{0;2;5;10;20;50},1))*1440,IF(M195="ESTUDO",BH195,N195)))</f>
        <v>0</v>
      </c>
      <c r="P195" s="94">
        <f t="shared" si="156"/>
        <v>0</v>
      </c>
      <c r="Q195" s="94">
        <f t="shared" si="157"/>
        <v>0</v>
      </c>
      <c r="R195" s="91" t="s">
        <v>0</v>
      </c>
      <c r="S195" s="88">
        <f t="shared" si="158"/>
        <v>0</v>
      </c>
      <c r="T195" s="94">
        <f>((AM195/(1+AUXILIAR!$BJ$4))-((AM195/(1+AUXILIAR!$BJ$4))*AUXILIAR!$BK$4))-(((AM195/(1+AUXILIAR!$BJ$4))-((AM195/(1+AUXILIAR!$BJ$4))*AUXILIAR!$BK$4))*((AUXILIAR!$BL$4+AUXILIAR!$BM$4)))</f>
        <v>0</v>
      </c>
      <c r="U195" s="94">
        <f>((S195/(1+AUXILIAR!$BJ$7))-((S195/(1+AUXILIAR!$BJ$7))*AUXILIAR!$BK$7))-(((S195/(1+AUXILIAR!$BJ$7))-((S195/(1+AUXILIAR!$BJ$7))*AUXILIAR!$BK$7))*((AUXILIAR!$BL$7+AUXILIAR!$BM$7)))</f>
        <v>0</v>
      </c>
      <c r="V195" s="95">
        <f>AM195-(AM195/(1+AUXILIAR!$BJ$4))</f>
        <v>0</v>
      </c>
      <c r="W195" s="96">
        <f>(AM195-V195)*AUXILIAR!$BK$4</f>
        <v>0</v>
      </c>
      <c r="X195" s="96">
        <f>(AM195-V195-W195)*(AUXILIAR!$BL$4+AUXILIAR!$BM$4)</f>
        <v>0</v>
      </c>
      <c r="Y195" s="96">
        <f>X195-(X195/(1+AUXILIAR!$BJ$7))</f>
        <v>0</v>
      </c>
      <c r="Z195" s="96">
        <f>(S195-Y195)*AUXILIAR!$BK$7</f>
        <v>0</v>
      </c>
      <c r="AA195" s="96">
        <f>(S195-Y195-Z195)*(AUXILIAR!$BL$7+AUXILIAR!$BM$7)</f>
        <v>0</v>
      </c>
      <c r="AB195" s="97">
        <f t="shared" si="159"/>
        <v>0</v>
      </c>
      <c r="AC195" s="97">
        <f t="shared" si="160"/>
        <v>0</v>
      </c>
      <c r="AD195" s="97">
        <f t="shared" si="161"/>
        <v>0</v>
      </c>
      <c r="AE195" s="97">
        <f t="shared" si="162"/>
        <v>0</v>
      </c>
      <c r="AF195" s="97">
        <f t="shared" si="163"/>
        <v>0</v>
      </c>
      <c r="AG195" s="96">
        <f t="shared" si="164"/>
        <v>-1</v>
      </c>
      <c r="AH195" s="94">
        <f t="shared" si="165"/>
        <v>0</v>
      </c>
      <c r="AI195" s="98">
        <f t="shared" si="166"/>
        <v>0</v>
      </c>
      <c r="AJ195" s="94">
        <f t="shared" si="167"/>
        <v>0</v>
      </c>
      <c r="AK195" s="94">
        <f t="shared" si="168"/>
        <v>0</v>
      </c>
      <c r="AL195" s="94">
        <f>AUXILIAR!$BM$12</f>
        <v>1</v>
      </c>
      <c r="AM195" s="94">
        <f>IF($E$2="XADREZ",
     IFERROR(VLOOKUP(G195,AUXILIAR!AB:AC,2,TRUE),0),
     IF(AC192="SIM", 0, IFERROR(VLOOKUP(G195,AUXILIAR!AB:AC,2,TRUE),0))
)</f>
        <v>0</v>
      </c>
      <c r="AN195" s="124">
        <f t="shared" si="149"/>
        <v>0</v>
      </c>
      <c r="AO195" s="94">
        <f t="shared" si="169"/>
        <v>0</v>
      </c>
      <c r="AP195" s="94">
        <f t="shared" si="170"/>
        <v>0</v>
      </c>
      <c r="AQ195" s="124">
        <f>IFERROR(INDEX(AUXILIAR!$AG$3:$AG$28,MATCH(G195,AUXILIAR!$AH$3:$AH$28,1))*AM195,0)</f>
        <v>0</v>
      </c>
      <c r="AR195" s="99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71"/>
        <v/>
      </c>
      <c r="AT195" s="89" t="str">
        <f t="shared" si="172"/>
        <v/>
      </c>
      <c r="AU195" s="89" t="str">
        <f t="shared" si="173"/>
        <v/>
      </c>
      <c r="AV195" s="89" t="str">
        <f t="shared" si="174"/>
        <v/>
      </c>
      <c r="AW195" s="89" t="str">
        <f t="shared" si="175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76"/>
        <v>0</v>
      </c>
      <c r="AZ195" s="89">
        <f t="shared" si="177"/>
        <v>0</v>
      </c>
      <c r="BA195" s="116">
        <f t="shared" si="178"/>
        <v>0</v>
      </c>
      <c r="BB195" s="116">
        <f t="shared" si="179"/>
        <v>0</v>
      </c>
      <c r="BC195" s="116">
        <f t="shared" si="180"/>
        <v>0</v>
      </c>
      <c r="BD195" s="116">
        <f t="shared" si="154"/>
        <v>0</v>
      </c>
      <c r="BE195" s="89">
        <f t="shared" si="150"/>
        <v>0</v>
      </c>
      <c r="BF195" s="90">
        <f t="shared" si="151"/>
        <v>0.01</v>
      </c>
      <c r="BG195" s="90">
        <f t="shared" si="152"/>
        <v>3.3333333333333333E-2</v>
      </c>
      <c r="BH195" s="116">
        <f t="shared" si="153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3">
        <v>1200</v>
      </c>
      <c r="L196" s="121" t="str">
        <f t="shared" si="147"/>
        <v>0</v>
      </c>
      <c r="M196" s="122">
        <f t="shared" si="148"/>
        <v>0</v>
      </c>
      <c r="N196" s="90">
        <f t="shared" si="155"/>
        <v>0</v>
      </c>
      <c r="O196" s="123">
        <f>IF(L196="",0,IFERROR(IF($M$2="ESTUDO",BH196,N196)+INDEX(AUXILIAR!$AO$3:$AO$8,MATCH(L196,{0;2;5;10;20;50},1))*1440,IF(M196="ESTUDO",BH196,N196)))</f>
        <v>0</v>
      </c>
      <c r="P196" s="94">
        <f t="shared" si="156"/>
        <v>0</v>
      </c>
      <c r="Q196" s="94">
        <f t="shared" si="157"/>
        <v>0</v>
      </c>
      <c r="R196" s="91" t="s">
        <v>0</v>
      </c>
      <c r="S196" s="88">
        <f t="shared" si="158"/>
        <v>0</v>
      </c>
      <c r="T196" s="94">
        <f>((AM196/(1+AUXILIAR!$BJ$4))-((AM196/(1+AUXILIAR!$BJ$4))*AUXILIAR!$BK$4))-(((AM196/(1+AUXILIAR!$BJ$4))-((AM196/(1+AUXILIAR!$BJ$4))*AUXILIAR!$BK$4))*((AUXILIAR!$BL$4+AUXILIAR!$BM$4)))</f>
        <v>0</v>
      </c>
      <c r="U196" s="94">
        <f>((S196/(1+AUXILIAR!$BJ$7))-((S196/(1+AUXILIAR!$BJ$7))*AUXILIAR!$BK$7))-(((S196/(1+AUXILIAR!$BJ$7))-((S196/(1+AUXILIAR!$BJ$7))*AUXILIAR!$BK$7))*((AUXILIAR!$BL$7+AUXILIAR!$BM$7)))</f>
        <v>0</v>
      </c>
      <c r="V196" s="95">
        <f>AM196-(AM196/(1+AUXILIAR!$BJ$4))</f>
        <v>0</v>
      </c>
      <c r="W196" s="96">
        <f>(AM196-V196)*AUXILIAR!$BK$4</f>
        <v>0</v>
      </c>
      <c r="X196" s="96">
        <f>(AM196-V196-W196)*(AUXILIAR!$BL$4+AUXILIAR!$BM$4)</f>
        <v>0</v>
      </c>
      <c r="Y196" s="96">
        <f>X196-(X196/(1+AUXILIAR!$BJ$7))</f>
        <v>0</v>
      </c>
      <c r="Z196" s="96">
        <f>(S196-Y196)*AUXILIAR!$BK$7</f>
        <v>0</v>
      </c>
      <c r="AA196" s="96">
        <f>(S196-Y196-Z196)*(AUXILIAR!$BL$7+AUXILIAR!$BM$7)</f>
        <v>0</v>
      </c>
      <c r="AB196" s="97">
        <f t="shared" si="159"/>
        <v>0</v>
      </c>
      <c r="AC196" s="97">
        <f t="shared" si="160"/>
        <v>0</v>
      </c>
      <c r="AD196" s="97">
        <f t="shared" si="161"/>
        <v>0</v>
      </c>
      <c r="AE196" s="97">
        <f t="shared" si="162"/>
        <v>0</v>
      </c>
      <c r="AF196" s="97">
        <f t="shared" si="163"/>
        <v>0</v>
      </c>
      <c r="AG196" s="96">
        <f t="shared" si="164"/>
        <v>-1</v>
      </c>
      <c r="AH196" s="94">
        <f t="shared" si="165"/>
        <v>0</v>
      </c>
      <c r="AI196" s="98">
        <f t="shared" si="166"/>
        <v>0</v>
      </c>
      <c r="AJ196" s="94">
        <f t="shared" si="167"/>
        <v>0</v>
      </c>
      <c r="AK196" s="94">
        <f t="shared" si="168"/>
        <v>0</v>
      </c>
      <c r="AL196" s="94">
        <f>AUXILIAR!$BM$12</f>
        <v>1</v>
      </c>
      <c r="AM196" s="94">
        <f>IF($E$2="XADREZ",
     IFERROR(VLOOKUP(G196,AUXILIAR!AB:AC,2,TRUE),0),
     IF(AC193="SIM", 0, IFERROR(VLOOKUP(G196,AUXILIAR!AB:AC,2,TRUE),0))
)</f>
        <v>0</v>
      </c>
      <c r="AN196" s="124">
        <f t="shared" si="149"/>
        <v>0</v>
      </c>
      <c r="AO196" s="94">
        <f t="shared" si="169"/>
        <v>0</v>
      </c>
      <c r="AP196" s="94">
        <f t="shared" si="170"/>
        <v>0</v>
      </c>
      <c r="AQ196" s="124">
        <f>IFERROR(INDEX(AUXILIAR!$AG$3:$AG$28,MATCH(G196,AUXILIAR!$AH$3:$AH$28,1))*AM196,0)</f>
        <v>0</v>
      </c>
      <c r="AR196" s="99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71"/>
        <v/>
      </c>
      <c r="AT196" s="89" t="str">
        <f t="shared" si="172"/>
        <v/>
      </c>
      <c r="AU196" s="89" t="str">
        <f t="shared" si="173"/>
        <v/>
      </c>
      <c r="AV196" s="89" t="str">
        <f t="shared" si="174"/>
        <v/>
      </c>
      <c r="AW196" s="89" t="str">
        <f t="shared" si="175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76"/>
        <v>0</v>
      </c>
      <c r="AZ196" s="89">
        <f t="shared" si="177"/>
        <v>0</v>
      </c>
      <c r="BA196" s="116">
        <f t="shared" si="178"/>
        <v>0</v>
      </c>
      <c r="BB196" s="116">
        <f t="shared" si="179"/>
        <v>0</v>
      </c>
      <c r="BC196" s="116">
        <f t="shared" si="180"/>
        <v>0</v>
      </c>
      <c r="BD196" s="116">
        <f t="shared" si="154"/>
        <v>0</v>
      </c>
      <c r="BE196" s="89">
        <f t="shared" si="150"/>
        <v>0</v>
      </c>
      <c r="BF196" s="90">
        <f t="shared" si="151"/>
        <v>0.01</v>
      </c>
      <c r="BG196" s="90">
        <f t="shared" si="152"/>
        <v>3.3333333333333333E-2</v>
      </c>
      <c r="BH196" s="116">
        <f t="shared" si="153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3">
        <v>1200</v>
      </c>
      <c r="L197" s="121" t="str">
        <f t="shared" si="147"/>
        <v>0</v>
      </c>
      <c r="M197" s="122">
        <f t="shared" si="148"/>
        <v>0</v>
      </c>
      <c r="N197" s="90">
        <f t="shared" si="155"/>
        <v>0</v>
      </c>
      <c r="O197" s="123">
        <f>IF(L197="",0,IFERROR(IF($M$2="ESTUDO",BH197,N197)+INDEX(AUXILIAR!$AO$3:$AO$8,MATCH(L197,{0;2;5;10;20;50},1))*1440,IF(M197="ESTUDO",BH197,N197)))</f>
        <v>0</v>
      </c>
      <c r="P197" s="94">
        <f t="shared" si="156"/>
        <v>0</v>
      </c>
      <c r="Q197" s="94">
        <f t="shared" si="157"/>
        <v>0</v>
      </c>
      <c r="R197" s="91" t="s">
        <v>0</v>
      </c>
      <c r="S197" s="88">
        <f t="shared" si="158"/>
        <v>0</v>
      </c>
      <c r="T197" s="94">
        <f>((AM197/(1+AUXILIAR!$BJ$4))-((AM197/(1+AUXILIAR!$BJ$4))*AUXILIAR!$BK$4))-(((AM197/(1+AUXILIAR!$BJ$4))-((AM197/(1+AUXILIAR!$BJ$4))*AUXILIAR!$BK$4))*((AUXILIAR!$BL$4+AUXILIAR!$BM$4)))</f>
        <v>0</v>
      </c>
      <c r="U197" s="94">
        <f>((S197/(1+AUXILIAR!$BJ$7))-((S197/(1+AUXILIAR!$BJ$7))*AUXILIAR!$BK$7))-(((S197/(1+AUXILIAR!$BJ$7))-((S197/(1+AUXILIAR!$BJ$7))*AUXILIAR!$BK$7))*((AUXILIAR!$BL$7+AUXILIAR!$BM$7)))</f>
        <v>0</v>
      </c>
      <c r="V197" s="95">
        <f>AM197-(AM197/(1+AUXILIAR!$BJ$4))</f>
        <v>0</v>
      </c>
      <c r="W197" s="96">
        <f>(AM197-V197)*AUXILIAR!$BK$4</f>
        <v>0</v>
      </c>
      <c r="X197" s="96">
        <f>(AM197-V197-W197)*(AUXILIAR!$BL$4+AUXILIAR!$BM$4)</f>
        <v>0</v>
      </c>
      <c r="Y197" s="96">
        <f>X197-(X197/(1+AUXILIAR!$BJ$7))</f>
        <v>0</v>
      </c>
      <c r="Z197" s="96">
        <f>(S197-Y197)*AUXILIAR!$BK$7</f>
        <v>0</v>
      </c>
      <c r="AA197" s="96">
        <f>(S197-Y197-Z197)*(AUXILIAR!$BL$7+AUXILIAR!$BM$7)</f>
        <v>0</v>
      </c>
      <c r="AB197" s="97">
        <f t="shared" si="159"/>
        <v>0</v>
      </c>
      <c r="AC197" s="97">
        <f t="shared" si="160"/>
        <v>0</v>
      </c>
      <c r="AD197" s="97">
        <f t="shared" si="161"/>
        <v>0</v>
      </c>
      <c r="AE197" s="97">
        <f t="shared" si="162"/>
        <v>0</v>
      </c>
      <c r="AF197" s="97">
        <f t="shared" si="163"/>
        <v>0</v>
      </c>
      <c r="AG197" s="96">
        <f t="shared" si="164"/>
        <v>-1</v>
      </c>
      <c r="AH197" s="94">
        <f t="shared" si="165"/>
        <v>0</v>
      </c>
      <c r="AI197" s="98">
        <f t="shared" si="166"/>
        <v>0</v>
      </c>
      <c r="AJ197" s="94">
        <f t="shared" si="167"/>
        <v>0</v>
      </c>
      <c r="AK197" s="94">
        <f t="shared" si="168"/>
        <v>0</v>
      </c>
      <c r="AL197" s="94">
        <f>AUXILIAR!$BM$12</f>
        <v>1</v>
      </c>
      <c r="AM197" s="94">
        <f>IF($E$2="XADREZ",
     IFERROR(VLOOKUP(G197,AUXILIAR!AB:AC,2,TRUE),0),
     IF(AC194="SIM", 0, IFERROR(VLOOKUP(G197,AUXILIAR!AB:AC,2,TRUE),0))
)</f>
        <v>0</v>
      </c>
      <c r="AN197" s="124">
        <f t="shared" si="149"/>
        <v>0</v>
      </c>
      <c r="AO197" s="94">
        <f t="shared" si="169"/>
        <v>0</v>
      </c>
      <c r="AP197" s="94">
        <f t="shared" si="170"/>
        <v>0</v>
      </c>
      <c r="AQ197" s="124">
        <f>IFERROR(INDEX(AUXILIAR!$AG$3:$AG$28,MATCH(G197,AUXILIAR!$AH$3:$AH$28,1))*AM197,0)</f>
        <v>0</v>
      </c>
      <c r="AR197" s="99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71"/>
        <v/>
      </c>
      <c r="AT197" s="89" t="str">
        <f t="shared" si="172"/>
        <v/>
      </c>
      <c r="AU197" s="89" t="str">
        <f t="shared" si="173"/>
        <v/>
      </c>
      <c r="AV197" s="89" t="str">
        <f t="shared" si="174"/>
        <v/>
      </c>
      <c r="AW197" s="89" t="str">
        <f t="shared" si="175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76"/>
        <v>0</v>
      </c>
      <c r="AZ197" s="89">
        <f t="shared" si="177"/>
        <v>0</v>
      </c>
      <c r="BA197" s="116">
        <f t="shared" si="178"/>
        <v>0</v>
      </c>
      <c r="BB197" s="116">
        <f t="shared" si="179"/>
        <v>0</v>
      </c>
      <c r="BC197" s="116">
        <f t="shared" si="180"/>
        <v>0</v>
      </c>
      <c r="BD197" s="116">
        <f t="shared" si="154"/>
        <v>0</v>
      </c>
      <c r="BE197" s="89">
        <f t="shared" si="150"/>
        <v>0</v>
      </c>
      <c r="BF197" s="90">
        <f t="shared" si="151"/>
        <v>0.01</v>
      </c>
      <c r="BG197" s="90">
        <f t="shared" si="152"/>
        <v>3.3333333333333333E-2</v>
      </c>
      <c r="BH197" s="116">
        <f t="shared" si="153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3">
        <v>1200</v>
      </c>
      <c r="L198" s="121" t="str">
        <f t="shared" si="147"/>
        <v>0</v>
      </c>
      <c r="M198" s="122">
        <f t="shared" si="148"/>
        <v>0</v>
      </c>
      <c r="N198" s="90">
        <f t="shared" si="155"/>
        <v>0</v>
      </c>
      <c r="O198" s="123">
        <f>IF(L198="",0,IFERROR(IF($M$2="ESTUDO",BH198,N198)+INDEX(AUXILIAR!$AO$3:$AO$8,MATCH(L198,{0;2;5;10;20;50},1))*1440,IF(M198="ESTUDO",BH198,N198)))</f>
        <v>0</v>
      </c>
      <c r="P198" s="94">
        <f t="shared" si="156"/>
        <v>0</v>
      </c>
      <c r="Q198" s="94">
        <f t="shared" si="157"/>
        <v>0</v>
      </c>
      <c r="R198" s="91" t="s">
        <v>0</v>
      </c>
      <c r="S198" s="88">
        <f t="shared" si="158"/>
        <v>0</v>
      </c>
      <c r="T198" s="94">
        <f>((AM198/(1+AUXILIAR!$BJ$4))-((AM198/(1+AUXILIAR!$BJ$4))*AUXILIAR!$BK$4))-(((AM198/(1+AUXILIAR!$BJ$4))-((AM198/(1+AUXILIAR!$BJ$4))*AUXILIAR!$BK$4))*((AUXILIAR!$BL$4+AUXILIAR!$BM$4)))</f>
        <v>0</v>
      </c>
      <c r="U198" s="94">
        <f>((S198/(1+AUXILIAR!$BJ$7))-((S198/(1+AUXILIAR!$BJ$7))*AUXILIAR!$BK$7))-(((S198/(1+AUXILIAR!$BJ$7))-((S198/(1+AUXILIAR!$BJ$7))*AUXILIAR!$BK$7))*((AUXILIAR!$BL$7+AUXILIAR!$BM$7)))</f>
        <v>0</v>
      </c>
      <c r="V198" s="95">
        <f>AM198-(AM198/(1+AUXILIAR!$BJ$4))</f>
        <v>0</v>
      </c>
      <c r="W198" s="96">
        <f>(AM198-V198)*AUXILIAR!$BK$4</f>
        <v>0</v>
      </c>
      <c r="X198" s="96">
        <f>(AM198-V198-W198)*(AUXILIAR!$BL$4+AUXILIAR!$BM$4)</f>
        <v>0</v>
      </c>
      <c r="Y198" s="96">
        <f>X198-(X198/(1+AUXILIAR!$BJ$7))</f>
        <v>0</v>
      </c>
      <c r="Z198" s="96">
        <f>(S198-Y198)*AUXILIAR!$BK$7</f>
        <v>0</v>
      </c>
      <c r="AA198" s="96">
        <f>(S198-Y198-Z198)*(AUXILIAR!$BL$7+AUXILIAR!$BM$7)</f>
        <v>0</v>
      </c>
      <c r="AB198" s="97">
        <f t="shared" si="159"/>
        <v>0</v>
      </c>
      <c r="AC198" s="97">
        <f t="shared" si="160"/>
        <v>0</v>
      </c>
      <c r="AD198" s="97">
        <f t="shared" si="161"/>
        <v>0</v>
      </c>
      <c r="AE198" s="97">
        <f t="shared" si="162"/>
        <v>0</v>
      </c>
      <c r="AF198" s="97">
        <f t="shared" si="163"/>
        <v>0</v>
      </c>
      <c r="AG198" s="96">
        <f t="shared" si="164"/>
        <v>-1</v>
      </c>
      <c r="AH198" s="94">
        <f t="shared" si="165"/>
        <v>0</v>
      </c>
      <c r="AI198" s="98">
        <f t="shared" si="166"/>
        <v>0</v>
      </c>
      <c r="AJ198" s="94">
        <f t="shared" si="167"/>
        <v>0</v>
      </c>
      <c r="AK198" s="94">
        <f t="shared" si="168"/>
        <v>0</v>
      </c>
      <c r="AL198" s="94">
        <f>AUXILIAR!$BM$12</f>
        <v>1</v>
      </c>
      <c r="AM198" s="94">
        <f>IF($E$2="XADREZ",
     IFERROR(VLOOKUP(G198,AUXILIAR!AB:AC,2,TRUE),0),
     IF(AC195="SIM", 0, IFERROR(VLOOKUP(G198,AUXILIAR!AB:AC,2,TRUE),0))
)</f>
        <v>0</v>
      </c>
      <c r="AN198" s="124">
        <f t="shared" si="149"/>
        <v>0</v>
      </c>
      <c r="AO198" s="94">
        <f t="shared" si="169"/>
        <v>0</v>
      </c>
      <c r="AP198" s="94">
        <f t="shared" si="170"/>
        <v>0</v>
      </c>
      <c r="AQ198" s="124">
        <f>IFERROR(INDEX(AUXILIAR!$AG$3:$AG$28,MATCH(G198,AUXILIAR!$AH$3:$AH$28,1))*AM198,0)</f>
        <v>0</v>
      </c>
      <c r="AR198" s="99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71"/>
        <v/>
      </c>
      <c r="AT198" s="89" t="str">
        <f t="shared" si="172"/>
        <v/>
      </c>
      <c r="AU198" s="89" t="str">
        <f t="shared" si="173"/>
        <v/>
      </c>
      <c r="AV198" s="89" t="str">
        <f t="shared" si="174"/>
        <v/>
      </c>
      <c r="AW198" s="89" t="str">
        <f t="shared" si="175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76"/>
        <v>0</v>
      </c>
      <c r="AZ198" s="89">
        <f t="shared" si="177"/>
        <v>0</v>
      </c>
      <c r="BA198" s="116">
        <f t="shared" si="178"/>
        <v>0</v>
      </c>
      <c r="BB198" s="116">
        <f t="shared" si="179"/>
        <v>0</v>
      </c>
      <c r="BC198" s="116">
        <f t="shared" si="180"/>
        <v>0</v>
      </c>
      <c r="BD198" s="116">
        <f t="shared" si="154"/>
        <v>0</v>
      </c>
      <c r="BE198" s="89">
        <f t="shared" si="150"/>
        <v>0</v>
      </c>
      <c r="BF198" s="90">
        <f t="shared" si="151"/>
        <v>0.01</v>
      </c>
      <c r="BG198" s="90">
        <f t="shared" si="152"/>
        <v>3.3333333333333333E-2</v>
      </c>
      <c r="BH198" s="116">
        <f t="shared" si="153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3">
        <v>1200</v>
      </c>
      <c r="L199" s="121" t="str">
        <f t="shared" si="147"/>
        <v>0</v>
      </c>
      <c r="M199" s="122">
        <f t="shared" si="148"/>
        <v>0</v>
      </c>
      <c r="N199" s="90">
        <f t="shared" si="155"/>
        <v>0</v>
      </c>
      <c r="O199" s="123">
        <f>IF(L199="",0,IFERROR(IF($M$2="ESTUDO",BH199,N199)+INDEX(AUXILIAR!$AO$3:$AO$8,MATCH(L199,{0;2;5;10;20;50},1))*1440,IF(M199="ESTUDO",BH199,N199)))</f>
        <v>0</v>
      </c>
      <c r="P199" s="94">
        <f t="shared" si="156"/>
        <v>0</v>
      </c>
      <c r="Q199" s="94">
        <f t="shared" si="157"/>
        <v>0</v>
      </c>
      <c r="R199" s="91" t="s">
        <v>0</v>
      </c>
      <c r="S199" s="88">
        <f t="shared" si="158"/>
        <v>0</v>
      </c>
      <c r="T199" s="94">
        <f>((AM199/(1+AUXILIAR!$BJ$4))-((AM199/(1+AUXILIAR!$BJ$4))*AUXILIAR!$BK$4))-(((AM199/(1+AUXILIAR!$BJ$4))-((AM199/(1+AUXILIAR!$BJ$4))*AUXILIAR!$BK$4))*((AUXILIAR!$BL$4+AUXILIAR!$BM$4)))</f>
        <v>0</v>
      </c>
      <c r="U199" s="94">
        <f>((S199/(1+AUXILIAR!$BJ$7))-((S199/(1+AUXILIAR!$BJ$7))*AUXILIAR!$BK$7))-(((S199/(1+AUXILIAR!$BJ$7))-((S199/(1+AUXILIAR!$BJ$7))*AUXILIAR!$BK$7))*((AUXILIAR!$BL$7+AUXILIAR!$BM$7)))</f>
        <v>0</v>
      </c>
      <c r="V199" s="95">
        <f>AM199-(AM199/(1+AUXILIAR!$BJ$4))</f>
        <v>0</v>
      </c>
      <c r="W199" s="96">
        <f>(AM199-V199)*AUXILIAR!$BK$4</f>
        <v>0</v>
      </c>
      <c r="X199" s="96">
        <f>(AM199-V199-W199)*(AUXILIAR!$BL$4+AUXILIAR!$BM$4)</f>
        <v>0</v>
      </c>
      <c r="Y199" s="96">
        <f>X199-(X199/(1+AUXILIAR!$BJ$7))</f>
        <v>0</v>
      </c>
      <c r="Z199" s="96">
        <f>(S199-Y199)*AUXILIAR!$BK$7</f>
        <v>0</v>
      </c>
      <c r="AA199" s="96">
        <f>(S199-Y199-Z199)*(AUXILIAR!$BL$7+AUXILIAR!$BM$7)</f>
        <v>0</v>
      </c>
      <c r="AB199" s="97">
        <f t="shared" si="159"/>
        <v>0</v>
      </c>
      <c r="AC199" s="97">
        <f t="shared" si="160"/>
        <v>0</v>
      </c>
      <c r="AD199" s="97">
        <f t="shared" si="161"/>
        <v>0</v>
      </c>
      <c r="AE199" s="97">
        <f t="shared" si="162"/>
        <v>0</v>
      </c>
      <c r="AF199" s="97">
        <f t="shared" si="163"/>
        <v>0</v>
      </c>
      <c r="AG199" s="96">
        <f t="shared" si="164"/>
        <v>-1</v>
      </c>
      <c r="AH199" s="94">
        <f t="shared" si="165"/>
        <v>0</v>
      </c>
      <c r="AI199" s="98">
        <f t="shared" si="166"/>
        <v>0</v>
      </c>
      <c r="AJ199" s="94">
        <f t="shared" si="167"/>
        <v>0</v>
      </c>
      <c r="AK199" s="94">
        <f t="shared" si="168"/>
        <v>0</v>
      </c>
      <c r="AL199" s="94">
        <f>AUXILIAR!$BM$12</f>
        <v>1</v>
      </c>
      <c r="AM199" s="94">
        <f>IF($E$2="XADREZ",
     IFERROR(VLOOKUP(G199,AUXILIAR!AB:AC,2,TRUE),0),
     IF(AC196="SIM", 0, IFERROR(VLOOKUP(G199,AUXILIAR!AB:AC,2,TRUE),0))
)</f>
        <v>0</v>
      </c>
      <c r="AN199" s="124">
        <f t="shared" si="149"/>
        <v>0</v>
      </c>
      <c r="AO199" s="94">
        <f t="shared" si="169"/>
        <v>0</v>
      </c>
      <c r="AP199" s="94">
        <f t="shared" si="170"/>
        <v>0</v>
      </c>
      <c r="AQ199" s="124">
        <f>IFERROR(INDEX(AUXILIAR!$AG$3:$AG$28,MATCH(G199,AUXILIAR!$AH$3:$AH$28,1))*AM199,0)</f>
        <v>0</v>
      </c>
      <c r="AR199" s="99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71"/>
        <v/>
      </c>
      <c r="AT199" s="89" t="str">
        <f t="shared" si="172"/>
        <v/>
      </c>
      <c r="AU199" s="89" t="str">
        <f t="shared" si="173"/>
        <v/>
      </c>
      <c r="AV199" s="89" t="str">
        <f t="shared" si="174"/>
        <v/>
      </c>
      <c r="AW199" s="89" t="str">
        <f t="shared" si="175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76"/>
        <v>0</v>
      </c>
      <c r="AZ199" s="89">
        <f t="shared" si="177"/>
        <v>0</v>
      </c>
      <c r="BA199" s="116">
        <f t="shared" si="178"/>
        <v>0</v>
      </c>
      <c r="BB199" s="116">
        <f t="shared" si="179"/>
        <v>0</v>
      </c>
      <c r="BC199" s="116">
        <f t="shared" si="180"/>
        <v>0</v>
      </c>
      <c r="BD199" s="116">
        <f t="shared" si="154"/>
        <v>0</v>
      </c>
      <c r="BE199" s="89">
        <f t="shared" si="150"/>
        <v>0</v>
      </c>
      <c r="BF199" s="90">
        <f t="shared" si="151"/>
        <v>0.01</v>
      </c>
      <c r="BG199" s="90">
        <f t="shared" si="152"/>
        <v>3.3333333333333333E-2</v>
      </c>
      <c r="BH199" s="116">
        <f t="shared" si="153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3">
        <v>1200</v>
      </c>
      <c r="L200" s="121" t="str">
        <f t="shared" si="147"/>
        <v>0</v>
      </c>
      <c r="M200" s="122">
        <f t="shared" si="148"/>
        <v>0</v>
      </c>
      <c r="N200" s="90">
        <f t="shared" si="155"/>
        <v>0</v>
      </c>
      <c r="O200" s="123">
        <f>IF(L200="",0,IFERROR(IF($M$2="ESTUDO",BH200,N200)+INDEX(AUXILIAR!$AO$3:$AO$8,MATCH(L200,{0;2;5;10;20;50},1))*1440,IF(M200="ESTUDO",BH200,N200)))</f>
        <v>0</v>
      </c>
      <c r="P200" s="94">
        <f t="shared" si="156"/>
        <v>0</v>
      </c>
      <c r="Q200" s="94">
        <f t="shared" si="157"/>
        <v>0</v>
      </c>
      <c r="R200" s="91" t="s">
        <v>0</v>
      </c>
      <c r="S200" s="88">
        <f t="shared" si="158"/>
        <v>0</v>
      </c>
      <c r="T200" s="94">
        <f>((AM200/(1+AUXILIAR!$BJ$4))-((AM200/(1+AUXILIAR!$BJ$4))*AUXILIAR!$BK$4))-(((AM200/(1+AUXILIAR!$BJ$4))-((AM200/(1+AUXILIAR!$BJ$4))*AUXILIAR!$BK$4))*((AUXILIAR!$BL$4+AUXILIAR!$BM$4)))</f>
        <v>0</v>
      </c>
      <c r="U200" s="94">
        <f>((S200/(1+AUXILIAR!$BJ$7))-((S200/(1+AUXILIAR!$BJ$7))*AUXILIAR!$BK$7))-(((S200/(1+AUXILIAR!$BJ$7))-((S200/(1+AUXILIAR!$BJ$7))*AUXILIAR!$BK$7))*((AUXILIAR!$BL$7+AUXILIAR!$BM$7)))</f>
        <v>0</v>
      </c>
      <c r="V200" s="95">
        <f>AM200-(AM200/(1+AUXILIAR!$BJ$4))</f>
        <v>0</v>
      </c>
      <c r="W200" s="96">
        <f>(AM200-V200)*AUXILIAR!$BK$4</f>
        <v>0</v>
      </c>
      <c r="X200" s="96">
        <f>(AM200-V200-W200)*(AUXILIAR!$BL$4+AUXILIAR!$BM$4)</f>
        <v>0</v>
      </c>
      <c r="Y200" s="96">
        <f>X200-(X200/(1+AUXILIAR!$BJ$7))</f>
        <v>0</v>
      </c>
      <c r="Z200" s="96">
        <f>(S200-Y200)*AUXILIAR!$BK$7</f>
        <v>0</v>
      </c>
      <c r="AA200" s="96">
        <f>(S200-Y200-Z200)*(AUXILIAR!$BL$7+AUXILIAR!$BM$7)</f>
        <v>0</v>
      </c>
      <c r="AB200" s="97">
        <f t="shared" si="159"/>
        <v>0</v>
      </c>
      <c r="AC200" s="97">
        <f t="shared" si="160"/>
        <v>0</v>
      </c>
      <c r="AD200" s="97">
        <f t="shared" si="161"/>
        <v>0</v>
      </c>
      <c r="AE200" s="97">
        <f t="shared" si="162"/>
        <v>0</v>
      </c>
      <c r="AF200" s="97">
        <f t="shared" si="163"/>
        <v>0</v>
      </c>
      <c r="AG200" s="96">
        <f t="shared" si="164"/>
        <v>-1</v>
      </c>
      <c r="AH200" s="94">
        <f t="shared" si="165"/>
        <v>0</v>
      </c>
      <c r="AI200" s="98">
        <f t="shared" si="166"/>
        <v>0</v>
      </c>
      <c r="AJ200" s="94">
        <f t="shared" si="167"/>
        <v>0</v>
      </c>
      <c r="AK200" s="94">
        <f t="shared" si="168"/>
        <v>0</v>
      </c>
      <c r="AL200" s="94">
        <f>AUXILIAR!$BM$12</f>
        <v>1</v>
      </c>
      <c r="AM200" s="94">
        <f>IF($E$2="XADREZ",
     IFERROR(VLOOKUP(G200,AUXILIAR!AB:AC,2,TRUE),0),
     IF(AC197="SIM", 0, IFERROR(VLOOKUP(G200,AUXILIAR!AB:AC,2,TRUE),0))
)</f>
        <v>0</v>
      </c>
      <c r="AN200" s="124">
        <f t="shared" si="149"/>
        <v>0</v>
      </c>
      <c r="AO200" s="94">
        <f t="shared" si="169"/>
        <v>0</v>
      </c>
      <c r="AP200" s="94">
        <f t="shared" si="170"/>
        <v>0</v>
      </c>
      <c r="AQ200" s="124">
        <f>IFERROR(INDEX(AUXILIAR!$AG$3:$AG$28,MATCH(G200,AUXILIAR!$AH$3:$AH$28,1))*AM200,0)</f>
        <v>0</v>
      </c>
      <c r="AR200" s="99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71"/>
        <v/>
      </c>
      <c r="AT200" s="89" t="str">
        <f t="shared" si="172"/>
        <v/>
      </c>
      <c r="AU200" s="89" t="str">
        <f t="shared" si="173"/>
        <v/>
      </c>
      <c r="AV200" s="89" t="str">
        <f t="shared" si="174"/>
        <v/>
      </c>
      <c r="AW200" s="89" t="str">
        <f t="shared" si="175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76"/>
        <v>0</v>
      </c>
      <c r="AZ200" s="89">
        <f t="shared" si="177"/>
        <v>0</v>
      </c>
      <c r="BA200" s="116">
        <f t="shared" si="178"/>
        <v>0</v>
      </c>
      <c r="BB200" s="116">
        <f t="shared" si="179"/>
        <v>0</v>
      </c>
      <c r="BC200" s="116">
        <f t="shared" si="180"/>
        <v>0</v>
      </c>
      <c r="BD200" s="116">
        <f t="shared" si="154"/>
        <v>0</v>
      </c>
      <c r="BE200" s="89">
        <f t="shared" si="150"/>
        <v>0</v>
      </c>
      <c r="BF200" s="90">
        <f t="shared" si="151"/>
        <v>0.01</v>
      </c>
      <c r="BG200" s="90">
        <f t="shared" si="152"/>
        <v>3.3333333333333333E-2</v>
      </c>
      <c r="BH200" s="116">
        <f t="shared" si="153"/>
        <v>0</v>
      </c>
    </row>
  </sheetData>
  <mergeCells count="14">
    <mergeCell ref="S9:T9"/>
    <mergeCell ref="D10:P11"/>
    <mergeCell ref="Q10:R10"/>
    <mergeCell ref="S10:T10"/>
    <mergeCell ref="F6:G6"/>
    <mergeCell ref="A8:C11"/>
    <mergeCell ref="D8:P9"/>
    <mergeCell ref="Q9:R9"/>
    <mergeCell ref="F7:G7"/>
    <mergeCell ref="F1:H1"/>
    <mergeCell ref="F2:G2"/>
    <mergeCell ref="F3:G3"/>
    <mergeCell ref="F4:G4"/>
    <mergeCell ref="F5:G5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5"/>
  <sheetViews>
    <sheetView workbookViewId="0">
      <selection activeCell="A37" sqref="A37"/>
    </sheetView>
  </sheetViews>
  <sheetFormatPr defaultRowHeight="13.8" x14ac:dyDescent="0.3"/>
  <cols>
    <col min="1" max="1" width="14.77734375" style="136" customWidth="1"/>
    <col min="2" max="3" width="18.77734375" style="136" customWidth="1"/>
    <col min="4" max="5" width="12.77734375" style="136" customWidth="1"/>
    <col min="6" max="13" width="16.77734375" style="136" customWidth="1"/>
    <col min="14" max="16384" width="8.88671875" style="136"/>
  </cols>
  <sheetData>
    <row r="1" spans="1:13" ht="14.4" x14ac:dyDescent="0.3">
      <c r="A1" s="190" t="s">
        <v>162</v>
      </c>
      <c r="B1" s="190"/>
      <c r="C1" s="191" t="s">
        <v>206</v>
      </c>
      <c r="D1" s="191"/>
      <c r="E1" s="191"/>
      <c r="F1" s="191"/>
      <c r="G1" s="191"/>
      <c r="H1" s="189" t="s">
        <v>201</v>
      </c>
      <c r="I1" s="189"/>
      <c r="J1" s="189"/>
      <c r="K1" s="189" t="s">
        <v>220</v>
      </c>
      <c r="L1" s="189"/>
      <c r="M1" s="189"/>
    </row>
    <row r="2" spans="1:13" ht="14.4" x14ac:dyDescent="0.3">
      <c r="A2" s="190"/>
      <c r="B2" s="190"/>
      <c r="C2" s="191"/>
      <c r="D2" s="191"/>
      <c r="E2" s="191"/>
      <c r="F2" s="191"/>
      <c r="G2" s="191"/>
      <c r="H2" s="189" t="s">
        <v>219</v>
      </c>
      <c r="I2" s="189"/>
      <c r="J2" s="189"/>
      <c r="K2" s="189" t="s">
        <v>202</v>
      </c>
      <c r="L2" s="189"/>
      <c r="M2" s="189"/>
    </row>
    <row r="3" spans="1:13" ht="14.4" x14ac:dyDescent="0.3">
      <c r="A3" s="190"/>
      <c r="B3" s="190"/>
      <c r="C3" s="189" t="s">
        <v>207</v>
      </c>
      <c r="D3" s="189"/>
      <c r="E3" s="189"/>
      <c r="F3" s="189"/>
      <c r="G3" s="189"/>
      <c r="H3" s="153"/>
      <c r="I3" s="153"/>
      <c r="J3" s="153"/>
      <c r="K3" s="153"/>
      <c r="L3" s="153"/>
      <c r="M3" s="153"/>
    </row>
    <row r="5" spans="1:13" x14ac:dyDescent="0.3">
      <c r="A5" s="184" t="s">
        <v>208</v>
      </c>
      <c r="B5" s="184"/>
      <c r="C5" s="184"/>
      <c r="D5" s="184" t="s">
        <v>209</v>
      </c>
      <c r="E5" s="184"/>
      <c r="F5" s="184"/>
      <c r="G5" s="184" t="s">
        <v>203</v>
      </c>
      <c r="H5" s="184"/>
      <c r="I5" s="184"/>
      <c r="J5" s="184" t="s">
        <v>170</v>
      </c>
      <c r="K5" s="184"/>
      <c r="L5" s="184" t="s">
        <v>210</v>
      </c>
      <c r="M5" s="184"/>
    </row>
    <row r="6" spans="1:13" x14ac:dyDescent="0.3">
      <c r="A6" s="186">
        <v>5.7708333333333334E-2</v>
      </c>
      <c r="B6" s="184"/>
      <c r="C6" s="184"/>
      <c r="D6" s="186">
        <v>3.8888888888888883E-3</v>
      </c>
      <c r="E6" s="184"/>
      <c r="F6" s="184"/>
      <c r="G6" s="187">
        <v>14.453812500000002</v>
      </c>
      <c r="H6" s="184"/>
      <c r="I6" s="184"/>
      <c r="J6" s="185">
        <v>10.5</v>
      </c>
      <c r="K6" s="184"/>
      <c r="L6" s="188">
        <v>0.22940028396612899</v>
      </c>
      <c r="M6" s="184"/>
    </row>
    <row r="7" spans="1:13" x14ac:dyDescent="0.3">
      <c r="A7" s="184" t="s">
        <v>204</v>
      </c>
      <c r="B7" s="184"/>
      <c r="C7" s="184"/>
      <c r="D7" s="184" t="s">
        <v>211</v>
      </c>
      <c r="E7" s="184"/>
      <c r="F7" s="184"/>
      <c r="G7" s="184" t="s">
        <v>212</v>
      </c>
      <c r="H7" s="184"/>
      <c r="I7" s="184"/>
      <c r="J7" s="184" t="s">
        <v>213</v>
      </c>
      <c r="K7" s="184"/>
      <c r="L7" s="184" t="s">
        <v>214</v>
      </c>
      <c r="M7" s="184"/>
    </row>
    <row r="8" spans="1:13" x14ac:dyDescent="0.3">
      <c r="A8" s="185">
        <v>151.72499999999999</v>
      </c>
      <c r="B8" s="184"/>
      <c r="C8" s="184"/>
      <c r="D8" s="184" t="s">
        <v>218</v>
      </c>
      <c r="E8" s="184"/>
      <c r="F8" s="184"/>
      <c r="G8" s="184">
        <v>3298</v>
      </c>
      <c r="H8" s="184"/>
      <c r="I8" s="184"/>
      <c r="J8" s="184" t="s">
        <v>0</v>
      </c>
      <c r="K8" s="184"/>
      <c r="L8" s="184">
        <v>3</v>
      </c>
      <c r="M8" s="184"/>
    </row>
    <row r="10" spans="1:13" x14ac:dyDescent="0.3">
      <c r="A10" s="183" t="s">
        <v>215</v>
      </c>
      <c r="B10" s="183"/>
      <c r="C10" s="183"/>
      <c r="D10" s="183"/>
      <c r="E10" s="183"/>
    </row>
    <row r="11" spans="1:13" x14ac:dyDescent="0.3">
      <c r="A11" s="139" t="s">
        <v>132</v>
      </c>
      <c r="B11" s="139" t="s">
        <v>203</v>
      </c>
      <c r="C11" s="139" t="s">
        <v>217</v>
      </c>
      <c r="D11" s="139" t="s">
        <v>170</v>
      </c>
      <c r="E11" s="139" t="s">
        <v>210</v>
      </c>
    </row>
    <row r="12" spans="1:13" x14ac:dyDescent="0.3">
      <c r="A12" s="137">
        <v>2</v>
      </c>
      <c r="B12" s="144">
        <v>1.413</v>
      </c>
      <c r="C12" s="150">
        <v>2.1333401416122003E-2</v>
      </c>
      <c r="D12" s="154">
        <v>10.5</v>
      </c>
      <c r="E12" s="147">
        <v>0.22940028396612899</v>
      </c>
    </row>
    <row r="13" spans="1:13" x14ac:dyDescent="0.3">
      <c r="A13" s="138">
        <v>3</v>
      </c>
      <c r="B13" s="145">
        <v>6.3114000000000008</v>
      </c>
      <c r="C13" s="151">
        <v>0.1040699891067538</v>
      </c>
      <c r="D13" s="156">
        <v>10.5</v>
      </c>
      <c r="E13" s="148">
        <v>0.22940028396612899</v>
      </c>
    </row>
    <row r="14" spans="1:13" x14ac:dyDescent="0.3">
      <c r="A14" s="137" t="s">
        <v>216</v>
      </c>
      <c r="B14" s="144">
        <v>6.7294125000000005</v>
      </c>
      <c r="C14" s="150">
        <v>3.2869576071169207E-2</v>
      </c>
      <c r="D14" s="154">
        <v>10.5</v>
      </c>
      <c r="E14" s="147">
        <v>0.22940028396612899</v>
      </c>
    </row>
    <row r="15" spans="1:13" x14ac:dyDescent="0.3">
      <c r="B15" s="146"/>
      <c r="C15" s="152"/>
      <c r="D15" s="155"/>
      <c r="E15" s="149"/>
    </row>
  </sheetData>
  <mergeCells count="28">
    <mergeCell ref="K1:M1"/>
    <mergeCell ref="K2:M2"/>
    <mergeCell ref="A1:B3"/>
    <mergeCell ref="C1:G2"/>
    <mergeCell ref="C3:G3"/>
    <mergeCell ref="H1:J1"/>
    <mergeCell ref="H2:J2"/>
    <mergeCell ref="A6:C6"/>
    <mergeCell ref="D6:F6"/>
    <mergeCell ref="G6:I6"/>
    <mergeCell ref="J6:K6"/>
    <mergeCell ref="L6:M6"/>
    <mergeCell ref="A5:C5"/>
    <mergeCell ref="D5:F5"/>
    <mergeCell ref="G5:I5"/>
    <mergeCell ref="J5:K5"/>
    <mergeCell ref="L5:M5"/>
    <mergeCell ref="L7:M7"/>
    <mergeCell ref="A8:C8"/>
    <mergeCell ref="D8:F8"/>
    <mergeCell ref="G8:I8"/>
    <mergeCell ref="J8:K8"/>
    <mergeCell ref="L8:M8"/>
    <mergeCell ref="A10:E10"/>
    <mergeCell ref="A7:C7"/>
    <mergeCell ref="D7:F7"/>
    <mergeCell ref="G7:I7"/>
    <mergeCell ref="J7:K7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workbookViewId="0">
      <selection activeCell="B39" sqref="B39"/>
    </sheetView>
  </sheetViews>
  <sheetFormatPr defaultRowHeight="11.4" x14ac:dyDescent="0.25"/>
  <cols>
    <col min="1" max="1" width="4" style="195" customWidth="1"/>
    <col min="2" max="2" width="17.88671875" style="195" bestFit="1" customWidth="1"/>
    <col min="3" max="3" width="15" style="195" bestFit="1" customWidth="1"/>
    <col min="4" max="4" width="3.33203125" style="195" customWidth="1"/>
    <col min="5" max="5" width="12.109375" style="195" bestFit="1" customWidth="1"/>
    <col min="6" max="9" width="9.109375" style="195" bestFit="1" customWidth="1"/>
    <col min="10" max="10" width="3.5546875" style="195" customWidth="1"/>
    <col min="11" max="11" width="15.5546875" style="195" bestFit="1" customWidth="1"/>
    <col min="12" max="12" width="8.77734375" style="195" bestFit="1" customWidth="1"/>
    <col min="13" max="13" width="9.109375" style="195" bestFit="1" customWidth="1"/>
    <col min="14" max="14" width="8.77734375" style="195" bestFit="1" customWidth="1"/>
    <col min="15" max="15" width="8.109375" style="195" bestFit="1" customWidth="1"/>
    <col min="16" max="16" width="2.109375" style="297" customWidth="1"/>
    <col min="17" max="17" width="21.33203125" style="195" bestFit="1" customWidth="1"/>
    <col min="18" max="19" width="7.77734375" style="195" bestFit="1" customWidth="1"/>
    <col min="20" max="20" width="0.5546875" style="195" customWidth="1"/>
    <col min="21" max="21" width="3.44140625" style="195" bestFit="1" customWidth="1"/>
    <col min="22" max="22" width="12" style="195" bestFit="1" customWidth="1"/>
    <col min="23" max="23" width="16.21875" style="195" bestFit="1" customWidth="1"/>
    <col min="24" max="25" width="10.109375" style="195" bestFit="1" customWidth="1"/>
    <col min="26" max="26" width="13.21875" style="195" bestFit="1" customWidth="1"/>
    <col min="27" max="27" width="2.88671875" style="195" customWidth="1"/>
    <col min="28" max="28" width="20.77734375" style="195" bestFit="1" customWidth="1"/>
    <col min="29" max="29" width="17.33203125" style="195" customWidth="1"/>
    <col min="30" max="30" width="1.77734375" style="195" customWidth="1"/>
    <col min="31" max="31" width="9" style="195" bestFit="1" customWidth="1"/>
    <col min="32" max="32" width="9.88671875" style="195" bestFit="1" customWidth="1"/>
    <col min="33" max="33" width="17.6640625" style="195" bestFit="1" customWidth="1"/>
    <col min="34" max="34" width="9.88671875" style="195" bestFit="1" customWidth="1"/>
    <col min="35" max="35" width="22.21875" style="195" bestFit="1" customWidth="1"/>
    <col min="36" max="36" width="23.44140625" style="195" bestFit="1" customWidth="1"/>
    <col min="37" max="37" width="19.6640625" style="195" bestFit="1" customWidth="1"/>
    <col min="38" max="38" width="2.21875" style="195" customWidth="1"/>
    <col min="39" max="61" width="8.88671875" style="195"/>
    <col min="62" max="64" width="9" style="195" bestFit="1" customWidth="1"/>
    <col min="65" max="65" width="10.5546875" style="195" bestFit="1" customWidth="1"/>
    <col min="66" max="16384" width="8.88671875" style="195"/>
  </cols>
  <sheetData>
    <row r="1" spans="1:65" ht="20.399999999999999" thickBot="1" x14ac:dyDescent="0.3">
      <c r="E1" s="196" t="s">
        <v>0</v>
      </c>
      <c r="F1" s="197"/>
      <c r="G1" s="197"/>
      <c r="H1" s="197"/>
      <c r="I1" s="198"/>
      <c r="K1" s="199" t="s">
        <v>6</v>
      </c>
      <c r="L1" s="200"/>
      <c r="M1" s="200"/>
      <c r="N1" s="200"/>
      <c r="O1" s="201"/>
      <c r="P1" s="202"/>
      <c r="Q1" s="203" t="s">
        <v>54</v>
      </c>
      <c r="R1" s="204"/>
      <c r="S1" s="205"/>
      <c r="W1" s="206">
        <f>VALUE(IFERROR(MID(W3,1,SEARCH("-",W3,1)-1),""))</f>
        <v>0</v>
      </c>
      <c r="X1" s="206">
        <f>VALUE(IFERROR(MID(X3,1,SEARCH("-",X3,1)-1),""))</f>
        <v>5</v>
      </c>
      <c r="Y1" s="206">
        <f>VALUE(IFERROR(MID(Y3,1,SEARCH("-",Y3,1)-1),""))</f>
        <v>10</v>
      </c>
      <c r="Z1" s="206">
        <f>VALUE(IFERROR(MID(Z3,1,SEARCH("kg",Z3,1)-1),""))</f>
        <v>20</v>
      </c>
      <c r="AB1" s="207" t="s">
        <v>52</v>
      </c>
      <c r="AC1" s="208"/>
      <c r="AE1" s="209" t="s">
        <v>130</v>
      </c>
      <c r="AF1" s="210"/>
      <c r="AG1" s="210"/>
      <c r="AH1" s="211"/>
      <c r="AI1" s="212" t="s">
        <v>172</v>
      </c>
      <c r="AJ1" s="213"/>
      <c r="AK1" s="214"/>
      <c r="AM1" s="215" t="s">
        <v>172</v>
      </c>
      <c r="AN1" s="216"/>
      <c r="AO1" s="217"/>
    </row>
    <row r="2" spans="1:65" s="218" customFormat="1" ht="57.6" thickBot="1" x14ac:dyDescent="0.35">
      <c r="B2" s="219" t="s">
        <v>28</v>
      </c>
      <c r="C2" s="220"/>
      <c r="E2" s="221" t="s">
        <v>1</v>
      </c>
      <c r="F2" s="221" t="s">
        <v>2</v>
      </c>
      <c r="G2" s="221" t="s">
        <v>3</v>
      </c>
      <c r="H2" s="221" t="s">
        <v>4</v>
      </c>
      <c r="I2" s="221" t="s">
        <v>5</v>
      </c>
      <c r="J2" s="222">
        <f>0</f>
        <v>0</v>
      </c>
      <c r="K2" s="223" t="s">
        <v>1</v>
      </c>
      <c r="L2" s="223" t="s">
        <v>2</v>
      </c>
      <c r="M2" s="223" t="s">
        <v>3</v>
      </c>
      <c r="N2" s="223" t="s">
        <v>4</v>
      </c>
      <c r="O2" s="223" t="s">
        <v>5</v>
      </c>
      <c r="P2" s="224"/>
      <c r="Q2" s="225" t="s">
        <v>1</v>
      </c>
      <c r="R2" s="225" t="s">
        <v>2</v>
      </c>
      <c r="S2" s="225" t="s">
        <v>3</v>
      </c>
      <c r="U2" s="226"/>
      <c r="V2" s="227" t="s">
        <v>7</v>
      </c>
      <c r="W2" s="228" t="s">
        <v>8</v>
      </c>
      <c r="X2" s="229"/>
      <c r="Y2" s="229"/>
      <c r="Z2" s="230"/>
      <c r="AB2" s="231" t="s">
        <v>53</v>
      </c>
      <c r="AC2" s="232" t="s">
        <v>55</v>
      </c>
      <c r="AE2" s="233" t="s">
        <v>131</v>
      </c>
      <c r="AF2" s="233" t="s">
        <v>132</v>
      </c>
      <c r="AG2" s="233" t="s">
        <v>133</v>
      </c>
      <c r="AH2" s="233" t="s">
        <v>132</v>
      </c>
      <c r="AI2" s="234" t="s">
        <v>173</v>
      </c>
      <c r="AJ2" s="234" t="s">
        <v>175</v>
      </c>
      <c r="AK2" s="234" t="s">
        <v>174</v>
      </c>
      <c r="AM2" s="235" t="s">
        <v>176</v>
      </c>
      <c r="AN2" s="236"/>
      <c r="AO2" s="237"/>
      <c r="BJ2" s="238" t="s">
        <v>75</v>
      </c>
      <c r="BK2" s="239"/>
      <c r="BL2" s="240"/>
      <c r="BM2" s="241"/>
    </row>
    <row r="3" spans="1:65" ht="12" thickBot="1" x14ac:dyDescent="0.3">
      <c r="B3" s="242"/>
      <c r="C3" s="243"/>
      <c r="E3" s="244">
        <v>0.9</v>
      </c>
      <c r="F3" s="245">
        <v>26000</v>
      </c>
      <c r="G3" s="245">
        <f>F3*0.85</f>
        <v>22100</v>
      </c>
      <c r="H3" s="245"/>
      <c r="I3" s="245"/>
      <c r="J3" s="222">
        <v>1</v>
      </c>
      <c r="K3" s="246">
        <v>0.65</v>
      </c>
      <c r="L3" s="245">
        <v>5200</v>
      </c>
      <c r="M3" s="245">
        <f t="shared" ref="M3:M5" si="0">L3*0.85</f>
        <v>4420</v>
      </c>
      <c r="N3" s="245"/>
      <c r="O3" s="245"/>
      <c r="P3" s="247"/>
      <c r="Q3" s="246">
        <v>0.9</v>
      </c>
      <c r="R3" s="245">
        <v>36000</v>
      </c>
      <c r="S3" s="245">
        <f t="shared" ref="S3:S27" si="1">R3*0.85</f>
        <v>30600</v>
      </c>
      <c r="U3" s="226"/>
      <c r="V3" s="248"/>
      <c r="W3" s="249" t="s">
        <v>9</v>
      </c>
      <c r="X3" s="249" t="s">
        <v>10</v>
      </c>
      <c r="Y3" s="249" t="s">
        <v>11</v>
      </c>
      <c r="Z3" s="250" t="s">
        <v>12</v>
      </c>
      <c r="AB3" s="251">
        <v>0.9</v>
      </c>
      <c r="AC3" s="252">
        <v>5.75</v>
      </c>
      <c r="AE3" s="253">
        <v>1</v>
      </c>
      <c r="AF3" s="254" t="s">
        <v>134</v>
      </c>
      <c r="AG3" s="254">
        <v>0</v>
      </c>
      <c r="AH3" s="254">
        <v>0.9</v>
      </c>
      <c r="AI3" s="253">
        <f>IF(COUNTIF(PEÇAS!$G$14:$G$1001,AH3)&gt;0,1,0)</f>
        <v>0</v>
      </c>
      <c r="AJ3" s="253">
        <f>IF(OR(AH3="",AI3=0),0,IF(SUMIFS(PEÇAS!$AT$14:$AT$1001,PEÇAS!$G$14:$G$1001,AH3)=0,0,ROUNDUP(SUMIFS(PEÇAS!$AT$14:$AT$1001,PEÇAS!$G$14:$G$1001,AH3)/(1200*3000),0)*20))</f>
        <v>0</v>
      </c>
      <c r="AK3" s="255">
        <f>SUM(AJ3:AJ28)</f>
        <v>0</v>
      </c>
      <c r="AM3" s="253">
        <v>0</v>
      </c>
      <c r="AN3" s="256" t="s">
        <v>182</v>
      </c>
      <c r="AO3" s="257">
        <v>4.0509259259259257E-3</v>
      </c>
      <c r="BJ3" s="258" t="s">
        <v>63</v>
      </c>
      <c r="BK3" s="259" t="s">
        <v>66</v>
      </c>
      <c r="BL3" s="259" t="s">
        <v>64</v>
      </c>
      <c r="BM3" s="260" t="s">
        <v>65</v>
      </c>
    </row>
    <row r="4" spans="1:65" ht="12" thickBot="1" x14ac:dyDescent="0.3">
      <c r="B4" s="261" t="s">
        <v>29</v>
      </c>
      <c r="C4" s="262">
        <v>20000</v>
      </c>
      <c r="E4" s="244">
        <v>0.95</v>
      </c>
      <c r="F4" s="245">
        <v>26000</v>
      </c>
      <c r="G4" s="245">
        <f>F4*0.85</f>
        <v>22100</v>
      </c>
      <c r="H4" s="245"/>
      <c r="I4" s="245"/>
      <c r="J4" s="222">
        <f>J3+1</f>
        <v>2</v>
      </c>
      <c r="K4" s="246">
        <v>0.9</v>
      </c>
      <c r="L4" s="245">
        <v>5200</v>
      </c>
      <c r="M4" s="245">
        <f t="shared" si="0"/>
        <v>4420</v>
      </c>
      <c r="N4" s="245"/>
      <c r="O4" s="245"/>
      <c r="P4" s="247"/>
      <c r="Q4" s="246">
        <v>1.5</v>
      </c>
      <c r="R4" s="245">
        <v>36000</v>
      </c>
      <c r="S4" s="245">
        <f t="shared" si="1"/>
        <v>30600</v>
      </c>
      <c r="U4" s="206">
        <f t="shared" ref="U4:U18" si="2">VALUE(IFERROR(MID(V4,1,SEARCH("a",V4,1)-2),""))</f>
        <v>1</v>
      </c>
      <c r="V4" s="263" t="s">
        <v>13</v>
      </c>
      <c r="W4" s="264">
        <v>5</v>
      </c>
      <c r="X4" s="264">
        <v>8</v>
      </c>
      <c r="Y4" s="264">
        <v>12</v>
      </c>
      <c r="Z4" s="264">
        <v>15</v>
      </c>
      <c r="AB4" s="251">
        <v>0.95</v>
      </c>
      <c r="AC4" s="252">
        <v>5.75</v>
      </c>
      <c r="AE4" s="253">
        <f t="shared" ref="AE4:AE27" si="3">AE3+1</f>
        <v>2</v>
      </c>
      <c r="AF4" s="254" t="s">
        <v>135</v>
      </c>
      <c r="AG4" s="254">
        <v>0</v>
      </c>
      <c r="AH4" s="254">
        <v>1.25</v>
      </c>
      <c r="AI4" s="253">
        <f>IF(COUNTIF(PEÇAS!$G$14:$G$1001,AH4)&gt;0,1,0)</f>
        <v>0</v>
      </c>
      <c r="AJ4" s="253">
        <f>IF(OR(AH4="",AI4=0),0,IF(SUMIFS(PEÇAS!$AT$14:$AT$1001,PEÇAS!$G$14:$G$1001,AH4)=0,0,ROUNDUP(SUMIFS(PEÇAS!$AT$14:$AT$1001,PEÇAS!$G$14:$G$1001,AH4)/(1200*3000),0)*20))</f>
        <v>0</v>
      </c>
      <c r="AM4" s="253">
        <f>AM3+1</f>
        <v>1</v>
      </c>
      <c r="AN4" s="265" t="s">
        <v>177</v>
      </c>
      <c r="AO4" s="257">
        <v>5.8333333333333336E-3</v>
      </c>
      <c r="BJ4" s="266">
        <v>3.2500000000000001E-2</v>
      </c>
      <c r="BK4" s="267">
        <v>0.12</v>
      </c>
      <c r="BL4" s="268">
        <v>7.5999999999999998E-2</v>
      </c>
      <c r="BM4" s="269">
        <v>1.6500000000000001E-2</v>
      </c>
    </row>
    <row r="5" spans="1:65" ht="12" thickBot="1" x14ac:dyDescent="0.3">
      <c r="B5" s="261" t="s">
        <v>30</v>
      </c>
      <c r="C5" s="243">
        <v>20</v>
      </c>
      <c r="E5" s="244">
        <v>1.2</v>
      </c>
      <c r="F5" s="245">
        <v>25000</v>
      </c>
      <c r="G5" s="245">
        <f t="shared" ref="G5:G6" si="4">F5*0.85</f>
        <v>21250</v>
      </c>
      <c r="H5" s="245"/>
      <c r="I5" s="245"/>
      <c r="J5" s="222">
        <f t="shared" ref="J5:J30" si="5">J4+1</f>
        <v>3</v>
      </c>
      <c r="K5" s="246">
        <v>0.95</v>
      </c>
      <c r="L5" s="245">
        <v>5200</v>
      </c>
      <c r="M5" s="245">
        <f t="shared" si="0"/>
        <v>4420</v>
      </c>
      <c r="N5" s="245"/>
      <c r="O5" s="245"/>
      <c r="P5" s="247"/>
      <c r="Q5" s="246">
        <v>1.9</v>
      </c>
      <c r="R5" s="245">
        <v>36000</v>
      </c>
      <c r="S5" s="245">
        <f t="shared" si="1"/>
        <v>30600</v>
      </c>
      <c r="U5" s="206">
        <f t="shared" si="2"/>
        <v>11</v>
      </c>
      <c r="V5" s="263" t="s">
        <v>14</v>
      </c>
      <c r="W5" s="264">
        <v>8</v>
      </c>
      <c r="X5" s="264">
        <v>12</v>
      </c>
      <c r="Y5" s="264">
        <v>16</v>
      </c>
      <c r="Z5" s="264">
        <v>19</v>
      </c>
      <c r="AB5" s="251">
        <v>1.2</v>
      </c>
      <c r="AC5" s="252">
        <v>5.75</v>
      </c>
      <c r="AE5" s="253">
        <f t="shared" si="3"/>
        <v>3</v>
      </c>
      <c r="AF5" s="254" t="s">
        <v>136</v>
      </c>
      <c r="AG5" s="254">
        <v>0</v>
      </c>
      <c r="AH5" s="254">
        <v>1.5</v>
      </c>
      <c r="AI5" s="253">
        <f>IF(COUNTIF(PEÇAS!$G$14:$G$1001,AH5)&gt;0,1,0)</f>
        <v>0</v>
      </c>
      <c r="AJ5" s="253">
        <f>IF(OR(AH5="",AI5=0),0,IF(SUMIFS(PEÇAS!$AT$14:$AT$1001,PEÇAS!$G$14:$G$1001,AH5)=0,0,ROUNDUP(SUMIFS(PEÇAS!$AT$14:$AT$1001,PEÇAS!$G$14:$G$1001,AH5)/(1200*3000),0)*20))</f>
        <v>0</v>
      </c>
      <c r="AM5" s="253">
        <f>AM4+1</f>
        <v>2</v>
      </c>
      <c r="AN5" s="256" t="s">
        <v>181</v>
      </c>
      <c r="AO5" s="257">
        <v>7.2916666666666659E-3</v>
      </c>
      <c r="BJ5" s="270" t="s">
        <v>76</v>
      </c>
      <c r="BK5" s="271"/>
      <c r="BL5" s="272"/>
      <c r="BM5" s="273"/>
    </row>
    <row r="6" spans="1:65" ht="12" thickBot="1" x14ac:dyDescent="0.3">
      <c r="B6" s="261" t="s">
        <v>31</v>
      </c>
      <c r="C6" s="243">
        <v>500</v>
      </c>
      <c r="E6" s="244">
        <v>1.25</v>
      </c>
      <c r="F6" s="245">
        <v>25000</v>
      </c>
      <c r="G6" s="245">
        <f t="shared" si="4"/>
        <v>21250</v>
      </c>
      <c r="H6" s="245"/>
      <c r="I6" s="245"/>
      <c r="J6" s="222">
        <f t="shared" si="5"/>
        <v>4</v>
      </c>
      <c r="K6" s="246">
        <v>1.2</v>
      </c>
      <c r="L6" s="245">
        <v>5200</v>
      </c>
      <c r="M6" s="245">
        <f>L6*0.85</f>
        <v>4420</v>
      </c>
      <c r="N6" s="245"/>
      <c r="O6" s="245"/>
      <c r="P6" s="247"/>
      <c r="Q6" s="246">
        <v>2</v>
      </c>
      <c r="R6" s="245">
        <v>36000</v>
      </c>
      <c r="S6" s="245">
        <f t="shared" si="1"/>
        <v>30600</v>
      </c>
      <c r="U6" s="206">
        <f t="shared" si="2"/>
        <v>31</v>
      </c>
      <c r="V6" s="263" t="s">
        <v>15</v>
      </c>
      <c r="W6" s="264">
        <v>11</v>
      </c>
      <c r="X6" s="264">
        <v>16</v>
      </c>
      <c r="Y6" s="264">
        <v>20</v>
      </c>
      <c r="Z6" s="264">
        <v>23</v>
      </c>
      <c r="AB6" s="251">
        <v>1.5</v>
      </c>
      <c r="AC6" s="252">
        <v>5.75</v>
      </c>
      <c r="AE6" s="253">
        <f t="shared" si="3"/>
        <v>4</v>
      </c>
      <c r="AF6" s="254" t="s">
        <v>137</v>
      </c>
      <c r="AG6" s="254">
        <v>0</v>
      </c>
      <c r="AH6" s="254">
        <v>1.9</v>
      </c>
      <c r="AI6" s="253">
        <f>IF(COUNTIF(PEÇAS!$G$14:$G$1001,AH6)&gt;0,1,0)</f>
        <v>0</v>
      </c>
      <c r="AJ6" s="253">
        <f>IF(OR(AH6="",AI6=0),0,IF(SUMIFS(PEÇAS!$AT$14:$AT$1001,PEÇAS!$G$14:$G$1001,AH6)=0,0,ROUNDUP(SUMIFS(PEÇAS!$AT$14:$AT$1001,PEÇAS!$G$14:$G$1001,AH6)/(1200*3000),0)*20))</f>
        <v>0</v>
      </c>
      <c r="AM6" s="253">
        <f t="shared" ref="AM6:AM8" si="6">AM5+1</f>
        <v>3</v>
      </c>
      <c r="AN6" s="256" t="s">
        <v>179</v>
      </c>
      <c r="AO6" s="257">
        <v>8.9699074074074073E-3</v>
      </c>
      <c r="BJ6" s="274" t="s">
        <v>63</v>
      </c>
      <c r="BK6" s="275" t="s">
        <v>66</v>
      </c>
      <c r="BL6" s="275" t="s">
        <v>64</v>
      </c>
      <c r="BM6" s="276" t="s">
        <v>65</v>
      </c>
    </row>
    <row r="7" spans="1:65" ht="12" thickBot="1" x14ac:dyDescent="0.3">
      <c r="B7" s="242"/>
      <c r="C7" s="243"/>
      <c r="E7" s="244">
        <v>1.5</v>
      </c>
      <c r="F7" s="245">
        <v>25000</v>
      </c>
      <c r="G7" s="245">
        <f>F7*0.85</f>
        <v>21250</v>
      </c>
      <c r="H7" s="245"/>
      <c r="I7" s="245"/>
      <c r="J7" s="222">
        <f t="shared" si="5"/>
        <v>5</v>
      </c>
      <c r="K7" s="246">
        <v>1.25</v>
      </c>
      <c r="L7" s="245">
        <v>5200</v>
      </c>
      <c r="M7" s="245">
        <f>L7*0.85</f>
        <v>4420</v>
      </c>
      <c r="N7" s="245"/>
      <c r="O7" s="245"/>
      <c r="P7" s="247"/>
      <c r="Q7" s="246">
        <v>2</v>
      </c>
      <c r="R7" s="245">
        <v>36000</v>
      </c>
      <c r="S7" s="245">
        <f t="shared" si="1"/>
        <v>30600</v>
      </c>
      <c r="U7" s="206">
        <f t="shared" si="2"/>
        <v>51</v>
      </c>
      <c r="V7" s="263" t="s">
        <v>16</v>
      </c>
      <c r="W7" s="264">
        <v>14</v>
      </c>
      <c r="X7" s="264">
        <v>20</v>
      </c>
      <c r="Y7" s="264">
        <v>24</v>
      </c>
      <c r="Z7" s="264">
        <v>27</v>
      </c>
      <c r="AB7" s="251">
        <v>2</v>
      </c>
      <c r="AC7" s="252">
        <v>5.0999999999999996</v>
      </c>
      <c r="AE7" s="253">
        <f t="shared" si="3"/>
        <v>5</v>
      </c>
      <c r="AF7" s="254" t="s">
        <v>138</v>
      </c>
      <c r="AG7" s="254">
        <v>0</v>
      </c>
      <c r="AH7" s="254">
        <v>2</v>
      </c>
      <c r="AI7" s="253">
        <f>IF(COUNTIF(PEÇAS!$G$14:$G$1001,AH7)&gt;0,1,0)</f>
        <v>0</v>
      </c>
      <c r="AJ7" s="253">
        <f>IF(OR(AH7="",AI7=0),0,IF(SUMIFS(PEÇAS!$AT$14:$AT$1001,PEÇAS!$G$14:$G$1001,AH7)=0,0,ROUNDUP(SUMIFS(PEÇAS!$AT$14:$AT$1001,PEÇAS!$G$14:$G$1001,AH7)/(1200*3000),0)*20))</f>
        <v>0</v>
      </c>
      <c r="AM7" s="253">
        <f t="shared" si="6"/>
        <v>4</v>
      </c>
      <c r="AN7" s="256" t="s">
        <v>180</v>
      </c>
      <c r="AO7" s="257">
        <v>8.9699074074074073E-3</v>
      </c>
      <c r="BJ7" s="277">
        <v>0</v>
      </c>
      <c r="BK7" s="278">
        <v>0.12</v>
      </c>
      <c r="BL7" s="279">
        <v>7.5999999999999998E-2</v>
      </c>
      <c r="BM7" s="280">
        <v>1.6500000000000001E-2</v>
      </c>
    </row>
    <row r="8" spans="1:65" ht="12" thickBot="1" x14ac:dyDescent="0.3">
      <c r="B8" s="261" t="s">
        <v>32</v>
      </c>
      <c r="C8" s="281">
        <f>C4/C5/C6</f>
        <v>2</v>
      </c>
      <c r="E8" s="244">
        <v>1.55</v>
      </c>
      <c r="F8" s="245">
        <v>25000</v>
      </c>
      <c r="G8" s="245">
        <f>F8*0.85</f>
        <v>21250</v>
      </c>
      <c r="H8" s="245"/>
      <c r="I8" s="245"/>
      <c r="J8" s="222">
        <f t="shared" si="5"/>
        <v>6</v>
      </c>
      <c r="K8" s="246">
        <v>1.5</v>
      </c>
      <c r="L8" s="245">
        <v>5200</v>
      </c>
      <c r="M8" s="245">
        <v>4420</v>
      </c>
      <c r="N8" s="245"/>
      <c r="O8" s="245"/>
      <c r="P8" s="247"/>
      <c r="Q8" s="246">
        <v>2.25</v>
      </c>
      <c r="R8" s="245">
        <v>36000</v>
      </c>
      <c r="S8" s="245">
        <f t="shared" si="1"/>
        <v>30600</v>
      </c>
      <c r="U8" s="206">
        <f t="shared" si="2"/>
        <v>71</v>
      </c>
      <c r="V8" s="263" t="s">
        <v>17</v>
      </c>
      <c r="W8" s="264">
        <v>17</v>
      </c>
      <c r="X8" s="264">
        <v>24</v>
      </c>
      <c r="Y8" s="264">
        <v>28</v>
      </c>
      <c r="Z8" s="264">
        <v>31</v>
      </c>
      <c r="AB8" s="282">
        <v>2.25</v>
      </c>
      <c r="AC8" s="252">
        <v>5.0999999999999996</v>
      </c>
      <c r="AE8" s="253">
        <f t="shared" si="3"/>
        <v>6</v>
      </c>
      <c r="AF8" s="254" t="s">
        <v>139</v>
      </c>
      <c r="AG8" s="254">
        <v>0</v>
      </c>
      <c r="AH8" s="254">
        <v>2.15</v>
      </c>
      <c r="AI8" s="253">
        <f>IF(COUNTIF(PEÇAS!$G$14:$G$1001,AH8)&gt;0,1,0)</f>
        <v>0</v>
      </c>
      <c r="AJ8" s="253">
        <f>IF(OR(AH8="",AI8=0),0,IF(SUMIFS(PEÇAS!$AT$14:$AT$1001,PEÇAS!$G$14:$G$1001,AH8)=0,0,ROUNDUP(SUMIFS(PEÇAS!$AT$14:$AT$1001,PEÇAS!$G$14:$G$1001,AH8)/(1200*3000),0)*20))</f>
        <v>0</v>
      </c>
      <c r="AM8" s="253">
        <f t="shared" si="6"/>
        <v>5</v>
      </c>
      <c r="AN8" s="256" t="s">
        <v>178</v>
      </c>
      <c r="AO8" s="257">
        <v>1.6284722222222221E-2</v>
      </c>
      <c r="BJ8" s="270" t="s">
        <v>77</v>
      </c>
      <c r="BK8" s="271"/>
      <c r="BL8" s="272"/>
      <c r="BM8" s="273"/>
    </row>
    <row r="9" spans="1:65" x14ac:dyDescent="0.25">
      <c r="B9" s="218"/>
      <c r="C9" s="218"/>
      <c r="E9" s="244">
        <v>1.8</v>
      </c>
      <c r="F9" s="245">
        <v>25000</v>
      </c>
      <c r="G9" s="245">
        <f>F9*0.85</f>
        <v>21250</v>
      </c>
      <c r="H9" s="245"/>
      <c r="I9" s="245"/>
      <c r="J9" s="222">
        <f t="shared" si="5"/>
        <v>7</v>
      </c>
      <c r="K9" s="246">
        <v>1.9</v>
      </c>
      <c r="L9" s="245">
        <v>5200</v>
      </c>
      <c r="M9" s="245">
        <f t="shared" ref="M9:M15" si="7">L9*0.85</f>
        <v>4420</v>
      </c>
      <c r="N9" s="245"/>
      <c r="O9" s="245"/>
      <c r="P9" s="247"/>
      <c r="Q9" s="246">
        <v>2.25</v>
      </c>
      <c r="R9" s="245">
        <v>36000</v>
      </c>
      <c r="S9" s="245">
        <f t="shared" si="1"/>
        <v>30600</v>
      </c>
      <c r="U9" s="206">
        <f t="shared" si="2"/>
        <v>91</v>
      </c>
      <c r="V9" s="263" t="s">
        <v>18</v>
      </c>
      <c r="W9" s="264">
        <v>20</v>
      </c>
      <c r="X9" s="264">
        <v>28</v>
      </c>
      <c r="Y9" s="264">
        <v>32</v>
      </c>
      <c r="Z9" s="264">
        <v>35</v>
      </c>
      <c r="AB9" s="282">
        <v>2.65</v>
      </c>
      <c r="AC9" s="252">
        <v>5</v>
      </c>
      <c r="AE9" s="253">
        <f t="shared" si="3"/>
        <v>7</v>
      </c>
      <c r="AF9" s="254" t="s">
        <v>140</v>
      </c>
      <c r="AG9" s="254">
        <v>0</v>
      </c>
      <c r="AH9" s="254">
        <v>2.25</v>
      </c>
      <c r="AI9" s="253">
        <f>IF(COUNTIF(PEÇAS!$G$14:$G$1001,AH9)&gt;0,1,0)</f>
        <v>0</v>
      </c>
      <c r="AJ9" s="253">
        <f>IF(OR(AH9="",AI9=0),0,IF(SUMIFS(PEÇAS!$AT$14:$AT$1001,PEÇAS!$G$14:$G$1001,AH9)=0,0,ROUNDUP(SUMIFS(PEÇAS!$AT$14:$AT$1001,PEÇAS!$G$14:$G$1001,AH9)/(1200*3000),0)*20))</f>
        <v>0</v>
      </c>
      <c r="BJ9" s="283" t="s">
        <v>78</v>
      </c>
      <c r="BK9" s="284"/>
      <c r="BL9" s="284"/>
      <c r="BM9" s="285">
        <v>0.5</v>
      </c>
    </row>
    <row r="10" spans="1:65" x14ac:dyDescent="0.25">
      <c r="B10" s="286" t="s">
        <v>33</v>
      </c>
      <c r="C10" s="287"/>
      <c r="E10" s="244">
        <v>1.95</v>
      </c>
      <c r="F10" s="245">
        <v>25000</v>
      </c>
      <c r="G10" s="245">
        <f>F10*0.85</f>
        <v>21250</v>
      </c>
      <c r="H10" s="245"/>
      <c r="I10" s="245"/>
      <c r="J10" s="222">
        <f t="shared" si="5"/>
        <v>8</v>
      </c>
      <c r="K10" s="246">
        <v>2</v>
      </c>
      <c r="L10" s="245">
        <v>5200</v>
      </c>
      <c r="M10" s="245">
        <f t="shared" si="7"/>
        <v>4420</v>
      </c>
      <c r="N10" s="245"/>
      <c r="O10" s="245"/>
      <c r="P10" s="247"/>
      <c r="Q10" s="246">
        <v>2.65</v>
      </c>
      <c r="R10" s="245">
        <v>36000</v>
      </c>
      <c r="S10" s="245">
        <f t="shared" si="1"/>
        <v>30600</v>
      </c>
      <c r="U10" s="206">
        <f t="shared" si="2"/>
        <v>111</v>
      </c>
      <c r="V10" s="263" t="s">
        <v>19</v>
      </c>
      <c r="W10" s="264">
        <v>23</v>
      </c>
      <c r="X10" s="264">
        <v>32</v>
      </c>
      <c r="Y10" s="264">
        <v>36</v>
      </c>
      <c r="Z10" s="264">
        <v>39</v>
      </c>
      <c r="AB10" s="251">
        <v>3</v>
      </c>
      <c r="AC10" s="252">
        <v>5</v>
      </c>
      <c r="AE10" s="253">
        <f t="shared" si="3"/>
        <v>8</v>
      </c>
      <c r="AF10" s="254" t="s">
        <v>141</v>
      </c>
      <c r="AG10" s="254">
        <v>0</v>
      </c>
      <c r="AH10" s="254">
        <v>2.65</v>
      </c>
      <c r="AI10" s="253">
        <f>IF(COUNTIF(PEÇAS!$G$14:$G$1001,AH10)&gt;0,1,0)</f>
        <v>0</v>
      </c>
      <c r="AJ10" s="253">
        <f>IF(OR(AH10="",AI10=0),0,IF(SUMIFS(PEÇAS!$AT$14:$AT$1001,PEÇAS!$G$14:$G$1001,AH10)=0,0,ROUNDUP(SUMIFS(PEÇAS!$AT$14:$AT$1001,PEÇAS!$G$14:$G$1001,AH10)/(1200*3000),0)*20))</f>
        <v>0</v>
      </c>
      <c r="AM10" s="288"/>
      <c r="BJ10" s="289" t="s">
        <v>79</v>
      </c>
      <c r="BK10" s="290"/>
      <c r="BL10" s="290"/>
      <c r="BM10" s="291">
        <v>0.2</v>
      </c>
    </row>
    <row r="11" spans="1:65" ht="12" thickBot="1" x14ac:dyDescent="0.3">
      <c r="A11" s="195">
        <v>4.75</v>
      </c>
      <c r="B11" s="292">
        <v>4.75</v>
      </c>
      <c r="C11" s="293">
        <v>100</v>
      </c>
      <c r="E11" s="244">
        <v>2</v>
      </c>
      <c r="F11" s="245">
        <v>25000</v>
      </c>
      <c r="G11" s="245">
        <f t="shared" ref="G11:G17" si="8">F11*0.85</f>
        <v>21250</v>
      </c>
      <c r="H11" s="245"/>
      <c r="I11" s="245"/>
      <c r="J11" s="222">
        <f t="shared" si="5"/>
        <v>9</v>
      </c>
      <c r="K11" s="246">
        <v>2.15</v>
      </c>
      <c r="L11" s="245">
        <v>5200</v>
      </c>
      <c r="M11" s="245">
        <f t="shared" si="7"/>
        <v>4420</v>
      </c>
      <c r="N11" s="245"/>
      <c r="O11" s="245"/>
      <c r="P11" s="247"/>
      <c r="Q11" s="246">
        <v>3</v>
      </c>
      <c r="R11" s="245">
        <v>36000</v>
      </c>
      <c r="S11" s="245">
        <f t="shared" si="1"/>
        <v>30600</v>
      </c>
      <c r="U11" s="206">
        <f t="shared" si="2"/>
        <v>131</v>
      </c>
      <c r="V11" s="263" t="s">
        <v>20</v>
      </c>
      <c r="W11" s="264">
        <v>26</v>
      </c>
      <c r="X11" s="264">
        <v>36</v>
      </c>
      <c r="Y11" s="264">
        <v>40</v>
      </c>
      <c r="Z11" s="264">
        <v>43</v>
      </c>
      <c r="AB11" s="282">
        <v>3.35</v>
      </c>
      <c r="AC11" s="252">
        <v>5</v>
      </c>
      <c r="AE11" s="253">
        <f t="shared" si="3"/>
        <v>9</v>
      </c>
      <c r="AF11" s="254" t="s">
        <v>142</v>
      </c>
      <c r="AG11" s="254">
        <v>0</v>
      </c>
      <c r="AH11" s="254">
        <v>3</v>
      </c>
      <c r="AI11" s="253">
        <f>IF(COUNTIF(PEÇAS!$G$14:$G$1001,AH11)&gt;0,1,0)</f>
        <v>0</v>
      </c>
      <c r="AJ11" s="253">
        <f>IF(OR(AH11="",AI11=0),0,IF(SUMIFS(PEÇAS!$AT$14:$AT$1001,PEÇAS!$G$14:$G$1001,AH11)=0,0,ROUNDUP(SUMIFS(PEÇAS!$AT$14:$AT$1001,PEÇAS!$G$14:$G$1001,AH11)/(1200*3000),0)*20))</f>
        <v>0</v>
      </c>
      <c r="BJ11" s="289" t="s">
        <v>80</v>
      </c>
      <c r="BK11" s="290"/>
      <c r="BL11" s="290"/>
      <c r="BM11" s="291">
        <v>0.3</v>
      </c>
    </row>
    <row r="12" spans="1:65" ht="12" thickBot="1" x14ac:dyDescent="0.3">
      <c r="A12" s="195">
        <v>9.5</v>
      </c>
      <c r="B12" s="261">
        <v>9.5</v>
      </c>
      <c r="C12" s="243">
        <v>100</v>
      </c>
      <c r="E12" s="244">
        <v>2</v>
      </c>
      <c r="F12" s="245">
        <v>25000</v>
      </c>
      <c r="G12" s="245">
        <f t="shared" si="8"/>
        <v>21250</v>
      </c>
      <c r="H12" s="245"/>
      <c r="I12" s="245"/>
      <c r="J12" s="222">
        <f t="shared" si="5"/>
        <v>10</v>
      </c>
      <c r="K12" s="246">
        <v>2.25</v>
      </c>
      <c r="L12" s="245">
        <v>5200</v>
      </c>
      <c r="M12" s="245">
        <f t="shared" si="7"/>
        <v>4420</v>
      </c>
      <c r="N12" s="245"/>
      <c r="O12" s="245"/>
      <c r="P12" s="247"/>
      <c r="Q12" s="246">
        <v>3.35</v>
      </c>
      <c r="R12" s="245">
        <v>36000</v>
      </c>
      <c r="S12" s="245">
        <f t="shared" si="1"/>
        <v>30600</v>
      </c>
      <c r="U12" s="206">
        <f t="shared" si="2"/>
        <v>151</v>
      </c>
      <c r="V12" s="263" t="s">
        <v>21</v>
      </c>
      <c r="W12" s="264">
        <v>29</v>
      </c>
      <c r="X12" s="264">
        <v>40</v>
      </c>
      <c r="Y12" s="264">
        <v>44</v>
      </c>
      <c r="Z12" s="264">
        <v>47</v>
      </c>
      <c r="AB12" s="282">
        <v>3.75</v>
      </c>
      <c r="AC12" s="252">
        <v>5</v>
      </c>
      <c r="AE12" s="253">
        <f t="shared" si="3"/>
        <v>10</v>
      </c>
      <c r="AF12" s="254" t="s">
        <v>143</v>
      </c>
      <c r="AG12" s="254">
        <v>0</v>
      </c>
      <c r="AH12" s="254">
        <v>3.15</v>
      </c>
      <c r="AI12" s="253">
        <f>IF(COUNTIF(PEÇAS!$G$14:$G$1001,AH12)&gt;0,1,0)</f>
        <v>0</v>
      </c>
      <c r="AJ12" s="253">
        <f>IF(OR(AH12="",AI12=0),0,IF(SUMIFS(PEÇAS!$AT$14:$AT$1001,PEÇAS!$G$14:$G$1001,AH12)=0,0,ROUNDUP(SUMIFS(PEÇAS!$AT$14:$AT$1001,PEÇAS!$G$14:$G$1001,AH12)/(1200*3000),0)*20))</f>
        <v>0</v>
      </c>
      <c r="BJ12" s="294" t="s">
        <v>81</v>
      </c>
      <c r="BK12" s="295"/>
      <c r="BL12" s="295"/>
      <c r="BM12" s="296">
        <f>SUM(BM9:BM11)</f>
        <v>1</v>
      </c>
    </row>
    <row r="13" spans="1:65" x14ac:dyDescent="0.25">
      <c r="A13" s="195">
        <v>10.5</v>
      </c>
      <c r="B13" s="261">
        <v>9.6</v>
      </c>
      <c r="C13" s="243">
        <v>100</v>
      </c>
      <c r="E13" s="244">
        <v>2.25</v>
      </c>
      <c r="F13" s="245">
        <v>20000</v>
      </c>
      <c r="G13" s="245">
        <f t="shared" si="8"/>
        <v>17000</v>
      </c>
      <c r="H13" s="245"/>
      <c r="I13" s="245"/>
      <c r="J13" s="222">
        <f t="shared" si="5"/>
        <v>11</v>
      </c>
      <c r="K13" s="246">
        <v>2.65</v>
      </c>
      <c r="L13" s="245">
        <v>5200</v>
      </c>
      <c r="M13" s="245">
        <f t="shared" si="7"/>
        <v>4420</v>
      </c>
      <c r="N13" s="245"/>
      <c r="O13" s="245">
        <v>45</v>
      </c>
      <c r="P13" s="247"/>
      <c r="Q13" s="246">
        <v>3.35</v>
      </c>
      <c r="R13" s="245">
        <v>36000</v>
      </c>
      <c r="S13" s="245">
        <f t="shared" si="1"/>
        <v>30600</v>
      </c>
      <c r="U13" s="206">
        <f t="shared" si="2"/>
        <v>171</v>
      </c>
      <c r="V13" s="263" t="s">
        <v>22</v>
      </c>
      <c r="W13" s="264">
        <v>32</v>
      </c>
      <c r="X13" s="264">
        <v>44</v>
      </c>
      <c r="Y13" s="264">
        <v>48</v>
      </c>
      <c r="Z13" s="264">
        <v>51</v>
      </c>
      <c r="AB13" s="282">
        <v>4.25</v>
      </c>
      <c r="AC13" s="252">
        <v>5</v>
      </c>
      <c r="AE13" s="253">
        <f t="shared" si="3"/>
        <v>11</v>
      </c>
      <c r="AF13" s="254" t="s">
        <v>144</v>
      </c>
      <c r="AG13" s="254">
        <v>0</v>
      </c>
      <c r="AH13" s="254">
        <v>3.35</v>
      </c>
      <c r="AI13" s="253">
        <f>IF(COUNTIF(PEÇAS!$G$14:$G$1001,AH13)&gt;0,1,0)</f>
        <v>0</v>
      </c>
      <c r="AJ13" s="253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E14" s="244">
        <v>2.25</v>
      </c>
      <c r="F14" s="245">
        <v>20000</v>
      </c>
      <c r="G14" s="245">
        <f t="shared" si="8"/>
        <v>17000</v>
      </c>
      <c r="H14" s="245"/>
      <c r="I14" s="245"/>
      <c r="J14" s="222">
        <f t="shared" si="5"/>
        <v>12</v>
      </c>
      <c r="K14" s="246">
        <v>3</v>
      </c>
      <c r="L14" s="245">
        <v>5150</v>
      </c>
      <c r="M14" s="245">
        <f t="shared" si="7"/>
        <v>4377.5</v>
      </c>
      <c r="N14" s="245"/>
      <c r="O14" s="245">
        <v>65</v>
      </c>
      <c r="P14" s="247"/>
      <c r="Q14" s="246">
        <v>3.75</v>
      </c>
      <c r="R14" s="245">
        <v>36000</v>
      </c>
      <c r="S14" s="245">
        <f t="shared" si="1"/>
        <v>30600</v>
      </c>
      <c r="U14" s="206">
        <f t="shared" si="2"/>
        <v>191</v>
      </c>
      <c r="V14" s="263" t="s">
        <v>23</v>
      </c>
      <c r="W14" s="264">
        <v>35</v>
      </c>
      <c r="X14" s="264">
        <v>48</v>
      </c>
      <c r="Y14" s="264">
        <v>52</v>
      </c>
      <c r="Z14" s="264">
        <v>55</v>
      </c>
      <c r="AB14" s="251">
        <v>4.75</v>
      </c>
      <c r="AC14" s="252">
        <v>5</v>
      </c>
      <c r="AE14" s="253">
        <f t="shared" si="3"/>
        <v>12</v>
      </c>
      <c r="AF14" s="254" t="s">
        <v>145</v>
      </c>
      <c r="AG14" s="254">
        <v>0</v>
      </c>
      <c r="AH14" s="254">
        <v>3.75</v>
      </c>
      <c r="AI14" s="253">
        <f>IF(COUNTIF(PEÇAS!$G$14:$G$1001,AH14)&gt;0,1,0)</f>
        <v>0</v>
      </c>
      <c r="AJ14" s="253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286" t="s">
        <v>34</v>
      </c>
      <c r="C15" s="287"/>
      <c r="E15" s="244">
        <v>2.65</v>
      </c>
      <c r="F15" s="245">
        <v>20000</v>
      </c>
      <c r="G15" s="245">
        <f t="shared" si="8"/>
        <v>17000</v>
      </c>
      <c r="H15" s="245"/>
      <c r="I15" s="245">
        <v>45</v>
      </c>
      <c r="J15" s="222">
        <f t="shared" si="5"/>
        <v>13</v>
      </c>
      <c r="K15" s="246">
        <v>3.15</v>
      </c>
      <c r="L15" s="245">
        <v>3600</v>
      </c>
      <c r="M15" s="245">
        <f t="shared" si="7"/>
        <v>3060</v>
      </c>
      <c r="N15" s="245"/>
      <c r="O15" s="245"/>
      <c r="P15" s="247"/>
      <c r="Q15" s="246">
        <v>3.75</v>
      </c>
      <c r="R15" s="245">
        <v>36000</v>
      </c>
      <c r="S15" s="245">
        <f t="shared" si="1"/>
        <v>30600</v>
      </c>
      <c r="U15" s="206">
        <f t="shared" si="2"/>
        <v>211</v>
      </c>
      <c r="V15" s="263" t="s">
        <v>24</v>
      </c>
      <c r="W15" s="264">
        <v>38</v>
      </c>
      <c r="X15" s="264">
        <v>52</v>
      </c>
      <c r="Y15" s="264">
        <v>56</v>
      </c>
      <c r="Z15" s="264">
        <v>59</v>
      </c>
      <c r="AB15" s="251">
        <v>6.35</v>
      </c>
      <c r="AC15" s="252">
        <v>5.0999999999999996</v>
      </c>
      <c r="AE15" s="253">
        <f t="shared" si="3"/>
        <v>13</v>
      </c>
      <c r="AF15" s="254" t="s">
        <v>146</v>
      </c>
      <c r="AG15" s="254">
        <v>0</v>
      </c>
      <c r="AH15" s="254">
        <v>3.85</v>
      </c>
      <c r="AI15" s="253">
        <f>IF(COUNTIF(PEÇAS!$G$14:$G$1001,AH15)&gt;0,1,0)</f>
        <v>0</v>
      </c>
      <c r="AJ15" s="253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292" t="s">
        <v>35</v>
      </c>
      <c r="C16" s="293" t="s">
        <v>36</v>
      </c>
      <c r="E16" s="244">
        <v>3</v>
      </c>
      <c r="F16" s="245">
        <v>15000</v>
      </c>
      <c r="G16" s="245">
        <f t="shared" si="8"/>
        <v>12750</v>
      </c>
      <c r="H16" s="245"/>
      <c r="I16" s="245">
        <v>65</v>
      </c>
      <c r="J16" s="222">
        <f t="shared" si="5"/>
        <v>14</v>
      </c>
      <c r="K16" s="246">
        <v>3.35</v>
      </c>
      <c r="L16" s="245">
        <v>3600</v>
      </c>
      <c r="M16" s="245">
        <v>3485</v>
      </c>
      <c r="N16" s="245"/>
      <c r="O16" s="245"/>
      <c r="P16" s="247"/>
      <c r="Q16" s="246">
        <v>4.25</v>
      </c>
      <c r="R16" s="245">
        <v>36000</v>
      </c>
      <c r="S16" s="245">
        <f t="shared" si="1"/>
        <v>30600</v>
      </c>
      <c r="U16" s="206">
        <f t="shared" si="2"/>
        <v>231</v>
      </c>
      <c r="V16" s="263" t="s">
        <v>25</v>
      </c>
      <c r="W16" s="264">
        <v>41</v>
      </c>
      <c r="X16" s="264">
        <v>56</v>
      </c>
      <c r="Y16" s="264">
        <v>60</v>
      </c>
      <c r="Z16" s="264">
        <v>63</v>
      </c>
      <c r="AB16" s="282">
        <v>7.94</v>
      </c>
      <c r="AC16" s="252">
        <v>5.0999999999999996</v>
      </c>
      <c r="AE16" s="253">
        <f t="shared" si="3"/>
        <v>14</v>
      </c>
      <c r="AF16" s="254" t="s">
        <v>147</v>
      </c>
      <c r="AG16" s="254">
        <v>0</v>
      </c>
      <c r="AH16" s="254">
        <v>4.25</v>
      </c>
      <c r="AI16" s="253">
        <f>IF(COUNTIF(PEÇAS!$G$14:$G$1001,AH16)&gt;0,1,0)</f>
        <v>0</v>
      </c>
      <c r="AJ16" s="253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261" t="s">
        <v>37</v>
      </c>
      <c r="C17" s="243" t="s">
        <v>38</v>
      </c>
      <c r="E17" s="244">
        <v>3.35</v>
      </c>
      <c r="F17" s="245">
        <v>15000</v>
      </c>
      <c r="G17" s="245">
        <f t="shared" si="8"/>
        <v>12750</v>
      </c>
      <c r="H17" s="245"/>
      <c r="I17" s="245"/>
      <c r="J17" s="222">
        <f t="shared" si="5"/>
        <v>15</v>
      </c>
      <c r="K17" s="246">
        <v>3.75</v>
      </c>
      <c r="L17" s="245">
        <v>3600</v>
      </c>
      <c r="M17" s="245">
        <f>L17*0.85</f>
        <v>3060</v>
      </c>
      <c r="N17" s="245"/>
      <c r="O17" s="245"/>
      <c r="P17" s="247"/>
      <c r="Q17" s="246">
        <v>4.75</v>
      </c>
      <c r="R17" s="245">
        <v>36000</v>
      </c>
      <c r="S17" s="245">
        <f>R17*0.85</f>
        <v>30600</v>
      </c>
      <c r="U17" s="206">
        <f t="shared" si="2"/>
        <v>251</v>
      </c>
      <c r="V17" s="263" t="s">
        <v>26</v>
      </c>
      <c r="W17" s="264">
        <v>44</v>
      </c>
      <c r="X17" s="264">
        <v>60</v>
      </c>
      <c r="Y17" s="264">
        <v>64</v>
      </c>
      <c r="Z17" s="264">
        <v>67</v>
      </c>
      <c r="AB17" s="282">
        <v>9.5299999999999994</v>
      </c>
      <c r="AC17" s="252">
        <v>5</v>
      </c>
      <c r="AE17" s="253">
        <f t="shared" si="3"/>
        <v>15</v>
      </c>
      <c r="AF17" s="254" t="s">
        <v>148</v>
      </c>
      <c r="AG17" s="254">
        <v>0</v>
      </c>
      <c r="AH17" s="254">
        <v>4.75</v>
      </c>
      <c r="AI17" s="253">
        <f>IF(COUNTIF(PEÇAS!$G$14:$G$1001,AH17)&gt;0,1,0)</f>
        <v>0</v>
      </c>
      <c r="AJ17" s="253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261" t="s">
        <v>39</v>
      </c>
      <c r="C18" s="262" t="s">
        <v>40</v>
      </c>
      <c r="E18" s="244">
        <v>3.35</v>
      </c>
      <c r="F18" s="245">
        <v>15000</v>
      </c>
      <c r="G18" s="245">
        <v>3485</v>
      </c>
      <c r="H18" s="245"/>
      <c r="I18" s="245"/>
      <c r="J18" s="222">
        <f t="shared" si="5"/>
        <v>16</v>
      </c>
      <c r="K18" s="246">
        <v>3.85</v>
      </c>
      <c r="L18" s="245">
        <v>3600</v>
      </c>
      <c r="M18" s="245">
        <v>3485</v>
      </c>
      <c r="N18" s="245"/>
      <c r="O18" s="245"/>
      <c r="P18" s="247"/>
      <c r="Q18" s="246">
        <v>6.35</v>
      </c>
      <c r="R18" s="245">
        <v>36000</v>
      </c>
      <c r="S18" s="245">
        <f t="shared" si="1"/>
        <v>30600</v>
      </c>
      <c r="U18" s="206">
        <f t="shared" si="2"/>
        <v>271</v>
      </c>
      <c r="V18" s="263" t="s">
        <v>27</v>
      </c>
      <c r="W18" s="264">
        <v>47</v>
      </c>
      <c r="X18" s="264">
        <v>64</v>
      </c>
      <c r="Y18" s="264">
        <v>68</v>
      </c>
      <c r="Z18" s="264">
        <v>71</v>
      </c>
      <c r="AB18" s="251">
        <v>12.7</v>
      </c>
      <c r="AC18" s="252">
        <v>5.0999999999999996</v>
      </c>
      <c r="AE18" s="253">
        <f t="shared" si="3"/>
        <v>16</v>
      </c>
      <c r="AF18" s="254" t="s">
        <v>149</v>
      </c>
      <c r="AG18" s="254">
        <v>0.1706805555555555</v>
      </c>
      <c r="AH18" s="254">
        <v>6.35</v>
      </c>
      <c r="AI18" s="253">
        <f>IF(COUNTIF(PEÇAS!$G$14:$G$1001,AH18)&gt;0,1,0)</f>
        <v>0</v>
      </c>
      <c r="AJ18" s="253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E19" s="244">
        <v>3.75</v>
      </c>
      <c r="F19" s="245">
        <v>11000</v>
      </c>
      <c r="G19" s="245">
        <f t="shared" ref="G19:G27" si="9">F19*0.85</f>
        <v>9350</v>
      </c>
      <c r="H19" s="245"/>
      <c r="I19" s="245"/>
      <c r="J19" s="222">
        <f t="shared" si="5"/>
        <v>17</v>
      </c>
      <c r="K19" s="246">
        <v>4.25</v>
      </c>
      <c r="L19" s="245">
        <v>3600</v>
      </c>
      <c r="M19" s="245">
        <v>3485</v>
      </c>
      <c r="N19" s="245"/>
      <c r="O19" s="245"/>
      <c r="P19" s="247"/>
      <c r="Q19" s="246">
        <v>7.94</v>
      </c>
      <c r="R19" s="245">
        <v>36000</v>
      </c>
      <c r="S19" s="245">
        <f t="shared" si="1"/>
        <v>30600</v>
      </c>
      <c r="AB19" s="282">
        <v>15.88</v>
      </c>
      <c r="AC19" s="252">
        <v>5.45</v>
      </c>
      <c r="AE19" s="253">
        <f t="shared" si="3"/>
        <v>17</v>
      </c>
      <c r="AF19" s="254" t="s">
        <v>150</v>
      </c>
      <c r="AG19" s="254">
        <v>0</v>
      </c>
      <c r="AH19" s="254">
        <v>7.94</v>
      </c>
      <c r="AI19" s="253">
        <f>IF(COUNTIF(PEÇAS!$G$14:$G$1001,AH19)&gt;0,1,0)</f>
        <v>0</v>
      </c>
      <c r="AJ19" s="253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E20" s="244">
        <v>3.75</v>
      </c>
      <c r="F20" s="245">
        <v>11000</v>
      </c>
      <c r="G20" s="245">
        <f t="shared" si="9"/>
        <v>9350</v>
      </c>
      <c r="H20" s="245"/>
      <c r="I20" s="245"/>
      <c r="J20" s="222">
        <f t="shared" si="5"/>
        <v>18</v>
      </c>
      <c r="K20" s="246">
        <v>4.75</v>
      </c>
      <c r="L20" s="245">
        <v>3600</v>
      </c>
      <c r="M20" s="245">
        <v>3485</v>
      </c>
      <c r="N20" s="245"/>
      <c r="O20" s="245"/>
      <c r="P20" s="247"/>
      <c r="Q20" s="246">
        <v>9.5299999999999994</v>
      </c>
      <c r="R20" s="245"/>
      <c r="S20" s="245">
        <f t="shared" si="1"/>
        <v>0</v>
      </c>
      <c r="AB20" s="282">
        <v>19.04</v>
      </c>
      <c r="AC20" s="252">
        <v>5.6</v>
      </c>
      <c r="AE20" s="253">
        <f t="shared" si="3"/>
        <v>18</v>
      </c>
      <c r="AF20" s="254" t="s">
        <v>151</v>
      </c>
      <c r="AG20" s="254">
        <v>0</v>
      </c>
      <c r="AH20" s="254">
        <v>9.5299999999999994</v>
      </c>
      <c r="AI20" s="253">
        <f>IF(COUNTIF(PEÇAS!$G$14:$G$1001,AH20)&gt;0,1,0)</f>
        <v>0</v>
      </c>
      <c r="AJ20" s="253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E21" s="244">
        <v>4.25</v>
      </c>
      <c r="F21" s="245">
        <v>11000</v>
      </c>
      <c r="G21" s="245">
        <f t="shared" si="9"/>
        <v>9350</v>
      </c>
      <c r="H21" s="245"/>
      <c r="I21" s="245"/>
      <c r="J21" s="222">
        <f t="shared" si="5"/>
        <v>19</v>
      </c>
      <c r="K21" s="246">
        <v>6.35</v>
      </c>
      <c r="L21" s="245">
        <v>4100</v>
      </c>
      <c r="M21" s="245">
        <v>3060</v>
      </c>
      <c r="N21" s="245"/>
      <c r="O21" s="245">
        <v>105</v>
      </c>
      <c r="P21" s="247"/>
      <c r="Q21" s="246">
        <v>12.7</v>
      </c>
      <c r="R21" s="245"/>
      <c r="S21" s="245">
        <f t="shared" si="1"/>
        <v>0</v>
      </c>
      <c r="AB21" s="282">
        <v>22.22</v>
      </c>
      <c r="AC21" s="252">
        <v>6.3</v>
      </c>
      <c r="AE21" s="253">
        <f t="shared" si="3"/>
        <v>19</v>
      </c>
      <c r="AF21" s="254" t="s">
        <v>152</v>
      </c>
      <c r="AG21" s="254">
        <v>0.12863888888888891</v>
      </c>
      <c r="AH21" s="254">
        <v>12.7</v>
      </c>
      <c r="AI21" s="253">
        <f>IF(COUNTIF(PEÇAS!$G$14:$G$1001,AH21)&gt;0,1,0)</f>
        <v>0</v>
      </c>
      <c r="AJ21" s="253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286" t="s">
        <v>41</v>
      </c>
      <c r="C22" s="287"/>
      <c r="E22" s="244">
        <v>4.75</v>
      </c>
      <c r="F22" s="245">
        <v>8500</v>
      </c>
      <c r="G22" s="245">
        <f t="shared" si="9"/>
        <v>7225</v>
      </c>
      <c r="H22" s="245"/>
      <c r="I22" s="245"/>
      <c r="J22" s="222">
        <f t="shared" si="5"/>
        <v>20</v>
      </c>
      <c r="K22" s="246">
        <v>7.94</v>
      </c>
      <c r="L22" s="245">
        <v>3200</v>
      </c>
      <c r="M22" s="245">
        <f t="shared" ref="M22:M30" si="10">L22*0.85</f>
        <v>2720</v>
      </c>
      <c r="N22" s="245"/>
      <c r="O22" s="245"/>
      <c r="P22" s="247"/>
      <c r="Q22" s="246">
        <v>15.88</v>
      </c>
      <c r="R22" s="245"/>
      <c r="S22" s="245">
        <f t="shared" si="1"/>
        <v>0</v>
      </c>
      <c r="AB22" s="282">
        <v>25.4</v>
      </c>
      <c r="AC22" s="252">
        <v>6.3</v>
      </c>
      <c r="AE22" s="253">
        <f t="shared" si="3"/>
        <v>20</v>
      </c>
      <c r="AF22" s="254" t="s">
        <v>153</v>
      </c>
      <c r="AG22" s="254">
        <v>0</v>
      </c>
      <c r="AH22" s="254">
        <v>15.88</v>
      </c>
      <c r="AI22" s="253">
        <f>IF(COUNTIF(PEÇAS!$G$14:$G$1001,AH22)&gt;0,1,0)</f>
        <v>0</v>
      </c>
      <c r="AJ22" s="253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292" t="s">
        <v>42</v>
      </c>
      <c r="C23" s="293" t="s">
        <v>43</v>
      </c>
      <c r="E23" s="244">
        <v>6.35</v>
      </c>
      <c r="F23" s="245">
        <v>2400</v>
      </c>
      <c r="G23" s="245">
        <f t="shared" si="9"/>
        <v>2040</v>
      </c>
      <c r="H23" s="245"/>
      <c r="I23" s="245">
        <v>105</v>
      </c>
      <c r="J23" s="222">
        <f t="shared" si="5"/>
        <v>21</v>
      </c>
      <c r="K23" s="246">
        <v>9.5299999999999994</v>
      </c>
      <c r="L23" s="245">
        <v>2200</v>
      </c>
      <c r="M23" s="245">
        <f t="shared" si="10"/>
        <v>1870</v>
      </c>
      <c r="N23" s="245">
        <v>700</v>
      </c>
      <c r="O23" s="245"/>
      <c r="P23" s="247"/>
      <c r="Q23" s="246">
        <v>19.04</v>
      </c>
      <c r="R23" s="245"/>
      <c r="S23" s="245">
        <f t="shared" si="1"/>
        <v>0</v>
      </c>
      <c r="AB23" s="251">
        <v>32</v>
      </c>
      <c r="AC23" s="252">
        <v>6.8</v>
      </c>
      <c r="AE23" s="253">
        <f t="shared" si="3"/>
        <v>21</v>
      </c>
      <c r="AF23" s="254" t="s">
        <v>154</v>
      </c>
      <c r="AG23" s="254">
        <v>0</v>
      </c>
      <c r="AH23" s="254">
        <v>19.04</v>
      </c>
      <c r="AI23" s="253">
        <f>IF(COUNTIF(PEÇAS!$G$14:$G$1001,AH23)&gt;0,1,0)</f>
        <v>0</v>
      </c>
      <c r="AJ23" s="253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261" t="s">
        <v>44</v>
      </c>
      <c r="C24" s="243" t="s">
        <v>45</v>
      </c>
      <c r="E24" s="244">
        <v>7.94</v>
      </c>
      <c r="F24" s="245">
        <v>2200</v>
      </c>
      <c r="G24" s="245">
        <f t="shared" si="9"/>
        <v>1870</v>
      </c>
      <c r="H24" s="245"/>
      <c r="I24" s="245"/>
      <c r="J24" s="222">
        <f t="shared" si="5"/>
        <v>22</v>
      </c>
      <c r="K24" s="246">
        <v>12.7</v>
      </c>
      <c r="L24" s="245">
        <v>2050</v>
      </c>
      <c r="M24" s="245">
        <f t="shared" si="10"/>
        <v>1742.5</v>
      </c>
      <c r="N24" s="245"/>
      <c r="O24" s="245">
        <v>125</v>
      </c>
      <c r="P24" s="247"/>
      <c r="Q24" s="246">
        <v>22.22</v>
      </c>
      <c r="R24" s="245"/>
      <c r="S24" s="245">
        <f t="shared" si="1"/>
        <v>0</v>
      </c>
      <c r="AB24" s="251">
        <v>50.8</v>
      </c>
      <c r="AC24" s="252">
        <v>6.8</v>
      </c>
      <c r="AE24" s="253">
        <f t="shared" si="3"/>
        <v>22</v>
      </c>
      <c r="AF24" s="254" t="s">
        <v>155</v>
      </c>
      <c r="AG24" s="254">
        <v>0</v>
      </c>
      <c r="AH24" s="254">
        <v>22.22</v>
      </c>
      <c r="AI24" s="253">
        <f>IF(COUNTIF(PEÇAS!$G$14:$G$1001,AH24)&gt;0,1,0)</f>
        <v>0</v>
      </c>
      <c r="AJ24" s="253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261" t="s">
        <v>46</v>
      </c>
      <c r="C25" s="243" t="s">
        <v>47</v>
      </c>
      <c r="E25" s="244">
        <v>9.5299999999999994</v>
      </c>
      <c r="F25" s="245">
        <v>1900</v>
      </c>
      <c r="G25" s="245">
        <f t="shared" si="9"/>
        <v>1615</v>
      </c>
      <c r="H25" s="245">
        <v>700</v>
      </c>
      <c r="I25" s="245"/>
      <c r="J25" s="222">
        <f t="shared" si="5"/>
        <v>23</v>
      </c>
      <c r="K25" s="246">
        <v>15.88</v>
      </c>
      <c r="L25" s="245">
        <v>1250</v>
      </c>
      <c r="M25" s="245">
        <f t="shared" si="10"/>
        <v>1062.5</v>
      </c>
      <c r="N25" s="245"/>
      <c r="O25" s="245"/>
      <c r="P25" s="247"/>
      <c r="Q25" s="246">
        <v>25.4</v>
      </c>
      <c r="R25" s="245"/>
      <c r="S25" s="245">
        <f t="shared" si="1"/>
        <v>0</v>
      </c>
      <c r="AE25" s="253">
        <f t="shared" si="3"/>
        <v>23</v>
      </c>
      <c r="AF25" s="254" t="s">
        <v>156</v>
      </c>
      <c r="AG25" s="254">
        <v>0</v>
      </c>
      <c r="AH25" s="254">
        <v>25.4</v>
      </c>
      <c r="AI25" s="253">
        <f>IF(COUNTIF(PEÇAS!$G$14:$G$1001,AH25)&gt;0,1,0)</f>
        <v>0</v>
      </c>
      <c r="AJ25" s="253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292" t="s">
        <v>48</v>
      </c>
      <c r="C26" s="293" t="s">
        <v>49</v>
      </c>
      <c r="E26" s="244">
        <v>12.7</v>
      </c>
      <c r="F26" s="245">
        <v>1500</v>
      </c>
      <c r="G26" s="245">
        <f t="shared" si="9"/>
        <v>1275</v>
      </c>
      <c r="H26" s="245"/>
      <c r="I26" s="245">
        <v>125</v>
      </c>
      <c r="J26" s="222">
        <f t="shared" si="5"/>
        <v>24</v>
      </c>
      <c r="K26" s="246">
        <v>19.04</v>
      </c>
      <c r="L26" s="245">
        <v>900</v>
      </c>
      <c r="M26" s="245">
        <f t="shared" si="10"/>
        <v>765</v>
      </c>
      <c r="N26" s="245"/>
      <c r="O26" s="245"/>
      <c r="P26" s="247"/>
      <c r="Q26" s="246">
        <v>28.7</v>
      </c>
      <c r="R26" s="245"/>
      <c r="S26" s="245">
        <f t="shared" si="1"/>
        <v>0</v>
      </c>
      <c r="AE26" s="253">
        <f t="shared" si="3"/>
        <v>24</v>
      </c>
      <c r="AF26" s="254" t="s">
        <v>157</v>
      </c>
      <c r="AG26" s="254">
        <v>0</v>
      </c>
      <c r="AH26" s="254">
        <v>28.7</v>
      </c>
      <c r="AI26" s="253">
        <f>IF(COUNTIF(PEÇAS!$G$14:$G$1001,AH26)&gt;0,1,0)</f>
        <v>0</v>
      </c>
      <c r="AJ26" s="253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261" t="s">
        <v>50</v>
      </c>
      <c r="C27" s="243" t="s">
        <v>51</v>
      </c>
      <c r="E27" s="244">
        <v>15.88</v>
      </c>
      <c r="F27" s="245">
        <v>1200</v>
      </c>
      <c r="G27" s="245">
        <f t="shared" si="9"/>
        <v>1020</v>
      </c>
      <c r="H27" s="245"/>
      <c r="I27" s="245"/>
      <c r="J27" s="222">
        <f t="shared" si="5"/>
        <v>25</v>
      </c>
      <c r="K27" s="246">
        <v>22.22</v>
      </c>
      <c r="L27" s="245">
        <v>750</v>
      </c>
      <c r="M27" s="245">
        <f t="shared" si="10"/>
        <v>637.5</v>
      </c>
      <c r="N27" s="245">
        <v>450</v>
      </c>
      <c r="O27" s="245"/>
      <c r="P27" s="247"/>
      <c r="Q27" s="246">
        <v>32</v>
      </c>
      <c r="R27" s="245"/>
      <c r="S27" s="245">
        <f t="shared" si="1"/>
        <v>0</v>
      </c>
      <c r="AE27" s="253">
        <f t="shared" si="3"/>
        <v>25</v>
      </c>
      <c r="AF27" s="254" t="s">
        <v>158</v>
      </c>
      <c r="AG27" s="254">
        <v>0</v>
      </c>
      <c r="AH27" s="254">
        <v>31.75</v>
      </c>
      <c r="AI27" s="253">
        <f>IF(COUNTIF(PEÇAS!$G$14:$G$1001,AH27)&gt;0,1,0)</f>
        <v>0</v>
      </c>
      <c r="AJ27" s="253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222">
        <f t="shared" si="5"/>
        <v>26</v>
      </c>
      <c r="K28" s="246">
        <v>25.4</v>
      </c>
      <c r="L28" s="245">
        <v>600</v>
      </c>
      <c r="M28" s="245">
        <f t="shared" si="10"/>
        <v>510</v>
      </c>
      <c r="N28" s="245">
        <v>400</v>
      </c>
      <c r="O28" s="245"/>
      <c r="AE28" s="253">
        <v>26</v>
      </c>
      <c r="AF28" s="254" t="s">
        <v>159</v>
      </c>
      <c r="AG28" s="253">
        <v>0</v>
      </c>
      <c r="AH28" s="254">
        <v>38.1</v>
      </c>
      <c r="AI28" s="253">
        <f>IF(COUNTIF(PEÇAS!$G$14:$G$1001,AH28)&gt;0,1,0)</f>
        <v>0</v>
      </c>
      <c r="AJ28" s="253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222">
        <f t="shared" si="5"/>
        <v>27</v>
      </c>
      <c r="K29" s="246">
        <v>28.7</v>
      </c>
      <c r="L29" s="245">
        <v>600</v>
      </c>
      <c r="M29" s="245">
        <f t="shared" si="10"/>
        <v>510</v>
      </c>
      <c r="N29" s="245"/>
      <c r="O29" s="245"/>
    </row>
    <row r="30" spans="2:36" x14ac:dyDescent="0.25">
      <c r="J30" s="222">
        <f t="shared" si="5"/>
        <v>28</v>
      </c>
      <c r="K30" s="246">
        <v>31.75</v>
      </c>
      <c r="L30" s="245">
        <v>500</v>
      </c>
      <c r="M30" s="245">
        <f t="shared" si="10"/>
        <v>425</v>
      </c>
      <c r="N30" s="245"/>
      <c r="O30" s="245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192" t="s">
        <v>56</v>
      </c>
      <c r="C2" s="193"/>
      <c r="D2" s="193"/>
      <c r="E2" s="193"/>
      <c r="F2" s="193"/>
      <c r="G2" s="194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2026-04-16T18:19:03Z</dcterms:modified>
</cp:coreProperties>
</file>